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vinvargas/Desktop/migc-dashboard/"/>
    </mc:Choice>
  </mc:AlternateContent>
  <xr:revisionPtr revIDLastSave="0" documentId="8_{49C27EB5-A8FE-C645-BB14-EEA13262ED83}" xr6:coauthVersionLast="47" xr6:coauthVersionMax="47" xr10:uidLastSave="{00000000-0000-0000-0000-000000000000}"/>
  <bookViews>
    <workbookView xWindow="0" yWindow="600" windowWidth="16760" windowHeight="19160" activeTab="1" xr2:uid="{BBF77493-EF1A-3942-9440-E7AC2E03DB26}"/>
  </bookViews>
  <sheets>
    <sheet name="Players" sheetId="2" r:id="rId1"/>
    <sheet name="Tournament_Info" sheetId="3" r:id="rId2"/>
    <sheet name="Tournament_Results" sheetId="1" r:id="rId3"/>
    <sheet name="Tournament_Acheivements" sheetId="4" r:id="rId4"/>
    <sheet name="Tournament_Skins" sheetId="5" r:id="rId5"/>
  </sheets>
  <definedNames>
    <definedName name="_xlnm._FilterDatabase" localSheetId="0" hidden="1">Players!$A$1:$D$45</definedName>
    <definedName name="_xlnm._FilterDatabase" localSheetId="2" hidden="1">Tournament_Results!$A$1:$L$150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5" i="5" l="1"/>
  <c r="B46" i="5"/>
  <c r="B47" i="5"/>
  <c r="B48" i="5"/>
  <c r="B49" i="5"/>
  <c r="B50" i="5"/>
  <c r="B51" i="5"/>
  <c r="B52" i="5"/>
  <c r="B53" i="5"/>
  <c r="B54" i="5"/>
  <c r="B55" i="5"/>
  <c r="B56" i="5"/>
  <c r="B57" i="5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44" i="1"/>
  <c r="B45" i="1"/>
  <c r="B46" i="1"/>
  <c r="B47" i="1"/>
  <c r="B48" i="1"/>
  <c r="B49" i="1"/>
  <c r="B50" i="1"/>
  <c r="B51" i="1"/>
  <c r="B52" i="1"/>
  <c r="B53" i="1"/>
  <c r="B55" i="1"/>
  <c r="B54" i="1"/>
  <c r="B56" i="1"/>
  <c r="B57" i="1"/>
  <c r="B58" i="1"/>
  <c r="B59" i="1"/>
  <c r="B60" i="1"/>
  <c r="B61" i="1"/>
  <c r="B102" i="1"/>
  <c r="B92" i="1"/>
  <c r="B100" i="1"/>
  <c r="B104" i="1"/>
  <c r="B107" i="1"/>
  <c r="B93" i="1"/>
  <c r="B103" i="1"/>
  <c r="B99" i="1"/>
  <c r="B94" i="1"/>
  <c r="B91" i="1"/>
  <c r="B101" i="1"/>
  <c r="B95" i="1"/>
  <c r="B90" i="1"/>
  <c r="B106" i="1"/>
  <c r="B96" i="1"/>
  <c r="B105" i="1"/>
  <c r="B98" i="1"/>
  <c r="B97" i="1"/>
  <c r="B113" i="1"/>
  <c r="B112" i="1"/>
  <c r="B115" i="1"/>
  <c r="B122" i="1"/>
  <c r="B108" i="1"/>
  <c r="B123" i="1"/>
  <c r="B124" i="1"/>
  <c r="B110" i="1"/>
  <c r="B111" i="1"/>
  <c r="B109" i="1"/>
  <c r="B121" i="1"/>
  <c r="B117" i="1"/>
  <c r="B118" i="1"/>
  <c r="B114" i="1"/>
  <c r="B116" i="1"/>
  <c r="B119" i="1"/>
  <c r="B120" i="1"/>
  <c r="B129" i="1"/>
  <c r="B125" i="1"/>
  <c r="B126" i="1"/>
  <c r="B127" i="1"/>
  <c r="B128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42" i="5"/>
  <c r="B43" i="5"/>
  <c r="B44" i="5"/>
  <c r="B38" i="5"/>
  <c r="B39" i="5"/>
  <c r="B40" i="5"/>
  <c r="B41" i="5"/>
  <c r="B33" i="5"/>
  <c r="B34" i="5"/>
  <c r="B35" i="5"/>
  <c r="B36" i="5"/>
  <c r="B37" i="5"/>
  <c r="B95" i="4"/>
  <c r="B96" i="4"/>
  <c r="B97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38" i="1"/>
  <c r="B39" i="1"/>
  <c r="B40" i="1"/>
  <c r="B41" i="1"/>
  <c r="B42" i="1"/>
  <c r="B43" i="1"/>
  <c r="B30" i="5"/>
  <c r="B31" i="5"/>
  <c r="B32" i="5"/>
  <c r="B21" i="5"/>
  <c r="B22" i="5"/>
  <c r="B23" i="5"/>
  <c r="B24" i="5"/>
  <c r="B25" i="5"/>
  <c r="B26" i="5"/>
  <c r="B27" i="5"/>
  <c r="B28" i="5"/>
  <c r="B29" i="5"/>
  <c r="B73" i="4"/>
  <c r="B74" i="4"/>
  <c r="B71" i="4"/>
  <c r="B72" i="4"/>
  <c r="B69" i="4"/>
  <c r="B70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13" i="5"/>
  <c r="B14" i="5"/>
  <c r="B15" i="5"/>
  <c r="B16" i="5"/>
  <c r="B17" i="5"/>
  <c r="B18" i="5"/>
  <c r="B19" i="5"/>
  <c r="B20" i="5"/>
  <c r="B3" i="5"/>
  <c r="B4" i="5"/>
  <c r="B5" i="5"/>
  <c r="B6" i="5"/>
  <c r="B7" i="5"/>
  <c r="B8" i="5"/>
  <c r="B9" i="5"/>
  <c r="B10" i="5"/>
  <c r="B11" i="5"/>
  <c r="B12" i="5"/>
  <c r="B2" i="5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" i="4"/>
</calcChain>
</file>

<file path=xl/sharedStrings.xml><?xml version="1.0" encoding="utf-8"?>
<sst xmlns="http://schemas.openxmlformats.org/spreadsheetml/2006/main" count="1409" uniqueCount="127">
  <si>
    <t>Tournament ID</t>
  </si>
  <si>
    <t>Player ID</t>
  </si>
  <si>
    <t>Player</t>
  </si>
  <si>
    <t>Flight</t>
  </si>
  <si>
    <t>Handicap</t>
  </si>
  <si>
    <t>Gross</t>
  </si>
  <si>
    <t>Net</t>
  </si>
  <si>
    <t>Front 9</t>
  </si>
  <si>
    <t>Back 9</t>
  </si>
  <si>
    <t>Putts</t>
  </si>
  <si>
    <t>2026_05</t>
  </si>
  <si>
    <t>John Nothdurft</t>
  </si>
  <si>
    <t>A</t>
  </si>
  <si>
    <t>Mat Vigil</t>
  </si>
  <si>
    <t>David Wu</t>
  </si>
  <si>
    <t>Tam Tran</t>
  </si>
  <si>
    <t>Chris Chang</t>
  </si>
  <si>
    <t>JP Hill</t>
  </si>
  <si>
    <t>Kevin Vargas</t>
  </si>
  <si>
    <t>Mikel Hodges</t>
  </si>
  <si>
    <t>Paul Toledo</t>
  </si>
  <si>
    <t>Taylor Yates</t>
  </si>
  <si>
    <t>Carlos Bouloy</t>
  </si>
  <si>
    <t>Med Baheta</t>
  </si>
  <si>
    <t>Brock Hansen</t>
  </si>
  <si>
    <t>Tai Ho</t>
  </si>
  <si>
    <t>Devan French</t>
  </si>
  <si>
    <t>B</t>
  </si>
  <si>
    <t>Danny Lopez</t>
  </si>
  <si>
    <t>Jason Payton</t>
  </si>
  <si>
    <t>Art Hernandez</t>
  </si>
  <si>
    <t>Mike Paguyo</t>
  </si>
  <si>
    <t>Will Vuong</t>
  </si>
  <si>
    <t>Juan Ramirez</t>
  </si>
  <si>
    <t>Kevin Taylor</t>
  </si>
  <si>
    <t>Paul Hsieh</t>
  </si>
  <si>
    <t>Ken Sogabe</t>
  </si>
  <si>
    <t>Colin Harrison</t>
  </si>
  <si>
    <t>Mike Pena</t>
  </si>
  <si>
    <t>Player_ID</t>
  </si>
  <si>
    <t>Player_Name</t>
  </si>
  <si>
    <t>Adrianna Moore</t>
  </si>
  <si>
    <t>Andy Pendleton</t>
  </si>
  <si>
    <t>Bryan Cappelli</t>
  </si>
  <si>
    <t>Colin Chang</t>
  </si>
  <si>
    <t>Danny Marin</t>
  </si>
  <si>
    <t>Darrick Sogabe</t>
  </si>
  <si>
    <t>Jorge Rayo</t>
  </si>
  <si>
    <t>Marcel Mendoza</t>
  </si>
  <si>
    <t>Mark Horgan</t>
  </si>
  <si>
    <t>Max O'Brien</t>
  </si>
  <si>
    <t>Nick Harris</t>
  </si>
  <si>
    <t>Sarith Kim</t>
  </si>
  <si>
    <t>Spencer Higgins</t>
  </si>
  <si>
    <t>Steve Chiang</t>
  </si>
  <si>
    <t>Tom Shea</t>
  </si>
  <si>
    <t>Charles Tran</t>
  </si>
  <si>
    <t>TGL Team</t>
  </si>
  <si>
    <t>The Money Team</t>
  </si>
  <si>
    <t>19th Hole Cartel</t>
  </si>
  <si>
    <t>Just the Tips</t>
  </si>
  <si>
    <t>White Rice</t>
  </si>
  <si>
    <t>Tournament_ID</t>
  </si>
  <si>
    <t>Tournament_Name</t>
  </si>
  <si>
    <t>Date</t>
  </si>
  <si>
    <t>Course</t>
  </si>
  <si>
    <t>2026_01</t>
  </si>
  <si>
    <t>CCRB</t>
  </si>
  <si>
    <t>2026_02</t>
  </si>
  <si>
    <t>Cross Creek</t>
  </si>
  <si>
    <t>Cross Creek GC</t>
  </si>
  <si>
    <t>2026_03</t>
  </si>
  <si>
    <t>Sycuan</t>
  </si>
  <si>
    <t>Sycuan Resort</t>
  </si>
  <si>
    <t>2026_04</t>
  </si>
  <si>
    <t>The Vineyard at Escondido</t>
  </si>
  <si>
    <t>The Links at Lakehouse</t>
  </si>
  <si>
    <t>None</t>
  </si>
  <si>
    <t>Status</t>
  </si>
  <si>
    <t>Member</t>
  </si>
  <si>
    <t>Guest</t>
  </si>
  <si>
    <t>Lucas Bouloy</t>
  </si>
  <si>
    <t>Jeff Carey</t>
  </si>
  <si>
    <t>Category</t>
  </si>
  <si>
    <t>Placement</t>
  </si>
  <si>
    <t>Amount</t>
  </si>
  <si>
    <t>Flight A - Overall</t>
  </si>
  <si>
    <t>Flight B - Overall</t>
  </si>
  <si>
    <t>Flight A - Front 9</t>
  </si>
  <si>
    <t>Flight B - Front 9</t>
  </si>
  <si>
    <t>Flight A - Back 9</t>
  </si>
  <si>
    <t>Flight B - Back 9</t>
  </si>
  <si>
    <t>Low Putts</t>
  </si>
  <si>
    <t>Winner</t>
  </si>
  <si>
    <t>Flight A - Long Drive</t>
  </si>
  <si>
    <t>Flight B - Long Drive</t>
  </si>
  <si>
    <t>Closest to the Pin</t>
  </si>
  <si>
    <t>Total</t>
  </si>
  <si>
    <t>Flight A - Skins</t>
  </si>
  <si>
    <t>Flight B - Skins</t>
  </si>
  <si>
    <t xml:space="preserve">Player, Flight, Handicap, Gross Score, Net Score, Front 9 Grose Score, Back 9 Gross Score and total putts. </t>
  </si>
  <si>
    <t>Devin Lerner</t>
  </si>
  <si>
    <t>Tyler Nichols</t>
  </si>
  <si>
    <t>2026_06</t>
  </si>
  <si>
    <t>Native Oaks</t>
  </si>
  <si>
    <t>TBD</t>
  </si>
  <si>
    <t>2026_07</t>
  </si>
  <si>
    <t>Coronado Golf Club</t>
  </si>
  <si>
    <t>Sunday, July 12, 2026</t>
  </si>
  <si>
    <t>Sunday, August 2, 2026</t>
  </si>
  <si>
    <t>2026_08</t>
  </si>
  <si>
    <t>2026_09</t>
  </si>
  <si>
    <t>2026_10</t>
  </si>
  <si>
    <t>2026_11</t>
  </si>
  <si>
    <t>2026_12</t>
  </si>
  <si>
    <t>Arrowood Golf Club</t>
  </si>
  <si>
    <t>San Vicente</t>
  </si>
  <si>
    <t>Sunday, August 30, 2026</t>
  </si>
  <si>
    <t>Sunday, September 20, 2026</t>
  </si>
  <si>
    <t>Golf Club of California</t>
  </si>
  <si>
    <t>Twin Oaks Golf Club</t>
  </si>
  <si>
    <t>TGL Event</t>
  </si>
  <si>
    <t>No</t>
  </si>
  <si>
    <t>Yes</t>
  </si>
  <si>
    <t>TGL Player</t>
  </si>
  <si>
    <t>N/A</t>
  </si>
  <si>
    <t>TGL 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</si>
</sst>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0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"/>
    </font>
    <font>
      <sz val="10"/>
      <color theme="1"/>
      <name val="Arial"/>
      <family val="2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  <font>
      <sz val="8"/>
      <name val="Aptos Narrow"/>
      <family val="2"/>
      <scheme val="minor"/>
    </font>
    <font>
      <sz val="10"/>
      <color rgb="FF212529"/>
      <name val="Arial"/>
      <family val="2"/>
    </font>
    <font>
      <b/>
      <sz val="10"/>
      <color rgb="FF21252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7EAB5"/>
      </patternFill>
    </fill>
    <fill>
      <patternFill patternType="solid">
        <fgColor rgb="FFFFFFFF"/>
      </patternFill>
    </fill>
    <fill>
      <patternFill patternType="solid">
        <fgColor rgb="FFF5F5F5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1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5" fillId="0" borderId="0" xfId="0" applyFont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3" fillId="0" borderId="0" xfId="0" applyFont="1"/>
    <xf numFmtId="0" fontId="8" fillId="4" borderId="0" xfId="0" applyFont="1" applyFill="1" applyAlignment="1">
      <alignment horizontal="left" vertical="center"/>
    </xf>
    <xf numFmtId="0" fontId="3" fillId="0" borderId="4" xfId="0" applyFont="1" applyBorder="1"/>
    <xf numFmtId="0" fontId="8" fillId="3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8" fillId="4" borderId="0" xfId="0" applyFont="1" applyFill="1" applyAlignment="1">
      <alignment horizontal="center" vertical="center"/>
    </xf>
    <xf numFmtId="0" fontId="0" fillId="0" borderId="4" xfId="0" applyBorder="1" applyAlignment="1">
      <alignment horizontal="center"/>
    </xf>
    <xf numFmtId="0" fontId="8" fillId="3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9" fillId="4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0" fillId="0" borderId="5" xfId="0" applyBorder="1" applyAlignment="1">
      <alignment horizontal="center"/>
    </xf>
    <xf numFmtId="164" fontId="1" fillId="0" borderId="0" xfId="0" applyNumberFormat="1" applyFont="1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0</xdr:row>
      <xdr:rowOff>304800</xdr:rowOff>
    </xdr:to>
    <xdr:sp macro="" textlink="">
      <xdr:nvSpPr>
        <xdr:cNvPr id="1025" name="AutoShape 1" descr="Inline image">
          <a:extLst>
            <a:ext uri="{FF2B5EF4-FFF2-40B4-BE49-F238E27FC236}">
              <a16:creationId xmlns:a16="http://schemas.microsoft.com/office/drawing/2014/main" id="{F80B2872-57AD-7E07-50F6-FEAD20529D9F}"/>
            </a:ext>
          </a:extLst>
        </xdr:cNvPr>
        <xdr:cNvSpPr>
          <a:spLocks noChangeAspect="1" noChangeArrowheads="1"/>
        </xdr:cNvSpPr>
      </xdr:nvSpPr>
      <xdr:spPr bwMode="auto">
        <a:xfrm>
          <a:off x="109601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3</xdr:row>
      <xdr:rowOff>0</xdr:rowOff>
    </xdr:from>
    <xdr:to>
      <xdr:col>13</xdr:col>
      <xdr:colOff>304800</xdr:colOff>
      <xdr:row>125</xdr:row>
      <xdr:rowOff>101600</xdr:rowOff>
    </xdr:to>
    <xdr:sp macro="" textlink="">
      <xdr:nvSpPr>
        <xdr:cNvPr id="1026" name="AutoShape 2" descr="Inline image">
          <a:extLst>
            <a:ext uri="{FF2B5EF4-FFF2-40B4-BE49-F238E27FC236}">
              <a16:creationId xmlns:a16="http://schemas.microsoft.com/office/drawing/2014/main" id="{9BFC242B-BCCF-68E5-F917-C6ACE58F120A}"/>
            </a:ext>
          </a:extLst>
        </xdr:cNvPr>
        <xdr:cNvSpPr>
          <a:spLocks noChangeAspect="1" noChangeArrowheads="1"/>
        </xdr:cNvSpPr>
      </xdr:nvSpPr>
      <xdr:spPr bwMode="auto">
        <a:xfrm>
          <a:off x="10960100" y="4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6EB24-F44A-4A41-917A-FE7DE7154BDA}">
  <dimension ref="A1:D47"/>
  <sheetViews>
    <sheetView topLeftCell="A12" workbookViewId="0">
      <selection activeCell="D11" sqref="D11"/>
    </sheetView>
  </sheetViews>
  <sheetFormatPr baseColWidth="10" defaultRowHeight="16" x14ac:dyDescent="0.2"/>
  <cols>
    <col min="1" max="1" width="11.5" bestFit="1" customWidth="1"/>
    <col min="2" max="2" width="14.6640625" bestFit="1" customWidth="1"/>
    <col min="3" max="3" width="9" bestFit="1" customWidth="1"/>
    <col min="4" max="4" width="14.5" bestFit="1" customWidth="1"/>
  </cols>
  <sheetData>
    <row r="1" spans="1:4" x14ac:dyDescent="0.2">
      <c r="A1" s="4" t="s">
        <v>39</v>
      </c>
      <c r="B1" s="4" t="s">
        <v>40</v>
      </c>
      <c r="C1" s="4" t="s">
        <v>78</v>
      </c>
      <c r="D1" t="s">
        <v>57</v>
      </c>
    </row>
    <row r="2" spans="1:4" x14ac:dyDescent="0.2">
      <c r="A2" s="5">
        <v>1</v>
      </c>
      <c r="B2" s="5" t="s">
        <v>30</v>
      </c>
      <c r="C2" s="5" t="s">
        <v>79</v>
      </c>
      <c r="D2" t="s">
        <v>58</v>
      </c>
    </row>
    <row r="3" spans="1:4" x14ac:dyDescent="0.2">
      <c r="A3" s="5">
        <v>2</v>
      </c>
      <c r="B3" s="5" t="s">
        <v>41</v>
      </c>
      <c r="C3" s="5" t="s">
        <v>79</v>
      </c>
      <c r="D3" t="s">
        <v>77</v>
      </c>
    </row>
    <row r="4" spans="1:4" x14ac:dyDescent="0.2">
      <c r="A4" s="5">
        <v>3</v>
      </c>
      <c r="B4" s="5" t="s">
        <v>42</v>
      </c>
      <c r="C4" s="5" t="s">
        <v>79</v>
      </c>
      <c r="D4" t="s">
        <v>61</v>
      </c>
    </row>
    <row r="5" spans="1:4" x14ac:dyDescent="0.2">
      <c r="A5" s="5">
        <v>4</v>
      </c>
      <c r="B5" s="5" t="s">
        <v>24</v>
      </c>
      <c r="C5" s="5" t="s">
        <v>79</v>
      </c>
      <c r="D5" t="s">
        <v>77</v>
      </c>
    </row>
    <row r="6" spans="1:4" x14ac:dyDescent="0.2">
      <c r="A6" s="5">
        <v>5</v>
      </c>
      <c r="B6" s="5" t="s">
        <v>43</v>
      </c>
      <c r="C6" s="5" t="s">
        <v>79</v>
      </c>
      <c r="D6" t="s">
        <v>60</v>
      </c>
    </row>
    <row r="7" spans="1:4" x14ac:dyDescent="0.2">
      <c r="A7" s="5">
        <v>6</v>
      </c>
      <c r="B7" s="5" t="s">
        <v>22</v>
      </c>
      <c r="C7" s="5" t="s">
        <v>79</v>
      </c>
      <c r="D7" t="s">
        <v>58</v>
      </c>
    </row>
    <row r="8" spans="1:4" x14ac:dyDescent="0.2">
      <c r="A8" s="5">
        <v>7</v>
      </c>
      <c r="B8" s="5" t="s">
        <v>16</v>
      </c>
      <c r="C8" s="5" t="s">
        <v>79</v>
      </c>
      <c r="D8" t="s">
        <v>60</v>
      </c>
    </row>
    <row r="9" spans="1:4" x14ac:dyDescent="0.2">
      <c r="A9" s="5">
        <v>8</v>
      </c>
      <c r="B9" s="5" t="s">
        <v>44</v>
      </c>
      <c r="C9" s="5" t="s">
        <v>79</v>
      </c>
      <c r="D9" t="s">
        <v>61</v>
      </c>
    </row>
    <row r="10" spans="1:4" x14ac:dyDescent="0.2">
      <c r="A10" s="5">
        <v>9</v>
      </c>
      <c r="B10" s="5" t="s">
        <v>37</v>
      </c>
      <c r="C10" s="5" t="s">
        <v>79</v>
      </c>
      <c r="D10" t="s">
        <v>60</v>
      </c>
    </row>
    <row r="11" spans="1:4" x14ac:dyDescent="0.2">
      <c r="A11" s="5">
        <v>10</v>
      </c>
      <c r="B11" s="5" t="s">
        <v>28</v>
      </c>
      <c r="C11" s="5" t="s">
        <v>79</v>
      </c>
      <c r="D11" t="s">
        <v>59</v>
      </c>
    </row>
    <row r="12" spans="1:4" x14ac:dyDescent="0.2">
      <c r="A12" s="5">
        <v>11</v>
      </c>
      <c r="B12" s="5" t="s">
        <v>45</v>
      </c>
      <c r="C12" s="5" t="s">
        <v>79</v>
      </c>
      <c r="D12" t="s">
        <v>58</v>
      </c>
    </row>
    <row r="13" spans="1:4" x14ac:dyDescent="0.2">
      <c r="A13" s="5">
        <v>12</v>
      </c>
      <c r="B13" s="5" t="s">
        <v>46</v>
      </c>
      <c r="C13" s="5" t="s">
        <v>79</v>
      </c>
      <c r="D13" t="s">
        <v>58</v>
      </c>
    </row>
    <row r="14" spans="1:4" x14ac:dyDescent="0.2">
      <c r="A14" s="5">
        <v>13</v>
      </c>
      <c r="B14" s="5" t="s">
        <v>14</v>
      </c>
      <c r="C14" s="5" t="s">
        <v>79</v>
      </c>
      <c r="D14" t="s">
        <v>61</v>
      </c>
    </row>
    <row r="15" spans="1:4" x14ac:dyDescent="0.2">
      <c r="A15" s="5">
        <v>14</v>
      </c>
      <c r="B15" s="5" t="s">
        <v>26</v>
      </c>
      <c r="C15" s="5" t="s">
        <v>79</v>
      </c>
      <c r="D15" t="s">
        <v>77</v>
      </c>
    </row>
    <row r="16" spans="1:4" x14ac:dyDescent="0.2">
      <c r="A16" s="5">
        <v>15</v>
      </c>
      <c r="B16" s="5" t="s">
        <v>11</v>
      </c>
      <c r="C16" s="5" t="s">
        <v>79</v>
      </c>
      <c r="D16" t="s">
        <v>58</v>
      </c>
    </row>
    <row r="17" spans="1:4" x14ac:dyDescent="0.2">
      <c r="A17" s="5">
        <v>16</v>
      </c>
      <c r="B17" s="5" t="s">
        <v>47</v>
      </c>
      <c r="C17" s="5" t="s">
        <v>79</v>
      </c>
      <c r="D17" t="s">
        <v>59</v>
      </c>
    </row>
    <row r="18" spans="1:4" x14ac:dyDescent="0.2">
      <c r="A18" s="5">
        <v>17</v>
      </c>
      <c r="B18" s="5" t="s">
        <v>17</v>
      </c>
      <c r="C18" s="5" t="s">
        <v>79</v>
      </c>
      <c r="D18" t="s">
        <v>60</v>
      </c>
    </row>
    <row r="19" spans="1:4" x14ac:dyDescent="0.2">
      <c r="A19" s="5">
        <v>18</v>
      </c>
      <c r="B19" s="5" t="s">
        <v>33</v>
      </c>
      <c r="C19" s="5" t="s">
        <v>79</v>
      </c>
      <c r="D19" t="s">
        <v>59</v>
      </c>
    </row>
    <row r="20" spans="1:4" x14ac:dyDescent="0.2">
      <c r="A20" s="5">
        <v>19</v>
      </c>
      <c r="B20" s="5" t="s">
        <v>34</v>
      </c>
      <c r="C20" s="5" t="s">
        <v>79</v>
      </c>
      <c r="D20" t="s">
        <v>59</v>
      </c>
    </row>
    <row r="21" spans="1:4" x14ac:dyDescent="0.2">
      <c r="A21" s="5">
        <v>20</v>
      </c>
      <c r="B21" s="5" t="s">
        <v>18</v>
      </c>
      <c r="C21" s="5" t="s">
        <v>79</v>
      </c>
      <c r="D21" t="s">
        <v>60</v>
      </c>
    </row>
    <row r="22" spans="1:4" x14ac:dyDescent="0.2">
      <c r="A22" s="5">
        <v>21</v>
      </c>
      <c r="B22" s="5" t="s">
        <v>48</v>
      </c>
      <c r="C22" s="5" t="s">
        <v>79</v>
      </c>
      <c r="D22" t="s">
        <v>77</v>
      </c>
    </row>
    <row r="23" spans="1:4" x14ac:dyDescent="0.2">
      <c r="A23" s="5">
        <v>22</v>
      </c>
      <c r="B23" s="5" t="s">
        <v>49</v>
      </c>
      <c r="C23" s="5" t="s">
        <v>79</v>
      </c>
      <c r="D23" t="s">
        <v>58</v>
      </c>
    </row>
    <row r="24" spans="1:4" x14ac:dyDescent="0.2">
      <c r="A24" s="5">
        <v>23</v>
      </c>
      <c r="B24" s="5" t="s">
        <v>50</v>
      </c>
      <c r="C24" s="5" t="s">
        <v>79</v>
      </c>
      <c r="D24" t="s">
        <v>61</v>
      </c>
    </row>
    <row r="25" spans="1:4" x14ac:dyDescent="0.2">
      <c r="A25" s="5">
        <v>24</v>
      </c>
      <c r="B25" s="5" t="s">
        <v>31</v>
      </c>
      <c r="C25" s="5" t="s">
        <v>79</v>
      </c>
      <c r="D25" t="s">
        <v>59</v>
      </c>
    </row>
    <row r="26" spans="1:4" x14ac:dyDescent="0.2">
      <c r="A26" s="5">
        <v>25</v>
      </c>
      <c r="B26" s="5" t="s">
        <v>38</v>
      </c>
      <c r="C26" s="5" t="s">
        <v>79</v>
      </c>
      <c r="D26" t="s">
        <v>77</v>
      </c>
    </row>
    <row r="27" spans="1:4" x14ac:dyDescent="0.2">
      <c r="A27" s="5">
        <v>26</v>
      </c>
      <c r="B27" s="5" t="s">
        <v>19</v>
      </c>
      <c r="C27" s="5" t="s">
        <v>79</v>
      </c>
      <c r="D27" t="s">
        <v>58</v>
      </c>
    </row>
    <row r="28" spans="1:4" x14ac:dyDescent="0.2">
      <c r="A28" s="5">
        <v>27</v>
      </c>
      <c r="B28" s="5" t="s">
        <v>51</v>
      </c>
      <c r="C28" s="5" t="s">
        <v>79</v>
      </c>
      <c r="D28" t="s">
        <v>59</v>
      </c>
    </row>
    <row r="29" spans="1:4" x14ac:dyDescent="0.2">
      <c r="A29" s="5">
        <v>28</v>
      </c>
      <c r="B29" s="5" t="s">
        <v>35</v>
      </c>
      <c r="C29" s="5" t="s">
        <v>79</v>
      </c>
      <c r="D29" t="s">
        <v>60</v>
      </c>
    </row>
    <row r="30" spans="1:4" x14ac:dyDescent="0.2">
      <c r="A30" s="5">
        <v>29</v>
      </c>
      <c r="B30" s="5" t="s">
        <v>20</v>
      </c>
      <c r="C30" s="5" t="s">
        <v>79</v>
      </c>
      <c r="D30" t="s">
        <v>60</v>
      </c>
    </row>
    <row r="31" spans="1:4" x14ac:dyDescent="0.2">
      <c r="A31" s="5">
        <v>30</v>
      </c>
      <c r="B31" s="5" t="s">
        <v>36</v>
      </c>
      <c r="C31" s="5" t="s">
        <v>79</v>
      </c>
      <c r="D31" t="s">
        <v>58</v>
      </c>
    </row>
    <row r="32" spans="1:4" x14ac:dyDescent="0.2">
      <c r="A32" s="5">
        <v>31</v>
      </c>
      <c r="B32" s="5" t="s">
        <v>52</v>
      </c>
      <c r="C32" s="5" t="s">
        <v>79</v>
      </c>
      <c r="D32" t="s">
        <v>61</v>
      </c>
    </row>
    <row r="33" spans="1:4" x14ac:dyDescent="0.2">
      <c r="A33" s="5">
        <v>32</v>
      </c>
      <c r="B33" s="5" t="s">
        <v>53</v>
      </c>
      <c r="C33" s="5" t="s">
        <v>79</v>
      </c>
      <c r="D33" t="s">
        <v>59</v>
      </c>
    </row>
    <row r="34" spans="1:4" x14ac:dyDescent="0.2">
      <c r="A34" s="5">
        <v>33</v>
      </c>
      <c r="B34" s="5" t="s">
        <v>54</v>
      </c>
      <c r="C34" s="5" t="s">
        <v>79</v>
      </c>
      <c r="D34" t="s">
        <v>77</v>
      </c>
    </row>
    <row r="35" spans="1:4" x14ac:dyDescent="0.2">
      <c r="A35" s="5">
        <v>34</v>
      </c>
      <c r="B35" s="5" t="s">
        <v>25</v>
      </c>
      <c r="C35" s="5" t="s">
        <v>79</v>
      </c>
      <c r="D35" t="s">
        <v>61</v>
      </c>
    </row>
    <row r="36" spans="1:4" x14ac:dyDescent="0.2">
      <c r="A36" s="5">
        <v>35</v>
      </c>
      <c r="B36" s="5" t="s">
        <v>15</v>
      </c>
      <c r="C36" s="5" t="s">
        <v>79</v>
      </c>
      <c r="D36" t="s">
        <v>60</v>
      </c>
    </row>
    <row r="37" spans="1:4" x14ac:dyDescent="0.2">
      <c r="A37" s="5">
        <v>36</v>
      </c>
      <c r="B37" s="5" t="s">
        <v>21</v>
      </c>
      <c r="C37" s="5" t="s">
        <v>79</v>
      </c>
      <c r="D37" t="s">
        <v>59</v>
      </c>
    </row>
    <row r="38" spans="1:4" x14ac:dyDescent="0.2">
      <c r="A38" s="5">
        <v>37</v>
      </c>
      <c r="B38" s="5" t="s">
        <v>55</v>
      </c>
      <c r="C38" s="5" t="s">
        <v>79</v>
      </c>
      <c r="D38" t="s">
        <v>61</v>
      </c>
    </row>
    <row r="39" spans="1:4" x14ac:dyDescent="0.2">
      <c r="A39" s="5">
        <v>38</v>
      </c>
      <c r="B39" s="5" t="s">
        <v>32</v>
      </c>
      <c r="C39" s="5" t="s">
        <v>79</v>
      </c>
      <c r="D39" t="s">
        <v>61</v>
      </c>
    </row>
    <row r="40" spans="1:4" x14ac:dyDescent="0.2">
      <c r="A40" s="5">
        <v>39</v>
      </c>
      <c r="B40" s="5" t="s">
        <v>56</v>
      </c>
      <c r="C40" s="5" t="s">
        <v>79</v>
      </c>
      <c r="D40" t="s">
        <v>77</v>
      </c>
    </row>
    <row r="41" spans="1:4" x14ac:dyDescent="0.2">
      <c r="A41" s="5">
        <v>40</v>
      </c>
      <c r="B41" s="5" t="s">
        <v>81</v>
      </c>
      <c r="C41" s="5" t="s">
        <v>80</v>
      </c>
      <c r="D41" t="s">
        <v>77</v>
      </c>
    </row>
    <row r="42" spans="1:4" x14ac:dyDescent="0.2">
      <c r="A42" s="5">
        <v>41</v>
      </c>
      <c r="B42" s="5" t="s">
        <v>13</v>
      </c>
      <c r="C42" s="5" t="s">
        <v>80</v>
      </c>
      <c r="D42" t="s">
        <v>77</v>
      </c>
    </row>
    <row r="43" spans="1:4" x14ac:dyDescent="0.2">
      <c r="A43" s="5">
        <v>42</v>
      </c>
      <c r="B43" s="5" t="s">
        <v>82</v>
      </c>
      <c r="C43" s="5" t="s">
        <v>80</v>
      </c>
      <c r="D43" t="s">
        <v>77</v>
      </c>
    </row>
    <row r="44" spans="1:4" x14ac:dyDescent="0.2">
      <c r="A44" s="5">
        <v>43</v>
      </c>
      <c r="B44" s="5" t="s">
        <v>29</v>
      </c>
      <c r="C44" s="5" t="s">
        <v>80</v>
      </c>
      <c r="D44" t="s">
        <v>77</v>
      </c>
    </row>
    <row r="45" spans="1:4" x14ac:dyDescent="0.2">
      <c r="A45" s="5">
        <v>44</v>
      </c>
      <c r="B45" s="5" t="s">
        <v>23</v>
      </c>
      <c r="C45" s="5" t="s">
        <v>80</v>
      </c>
      <c r="D45" t="s">
        <v>77</v>
      </c>
    </row>
    <row r="46" spans="1:4" x14ac:dyDescent="0.2">
      <c r="A46" s="5">
        <v>45</v>
      </c>
      <c r="B46" s="12" t="s">
        <v>101</v>
      </c>
      <c r="C46" s="5" t="s">
        <v>80</v>
      </c>
      <c r="D46" t="s">
        <v>77</v>
      </c>
    </row>
    <row r="47" spans="1:4" x14ac:dyDescent="0.2">
      <c r="A47" s="5">
        <v>46</v>
      </c>
      <c r="B47" s="5" t="s">
        <v>102</v>
      </c>
      <c r="C47" s="5" t="s">
        <v>80</v>
      </c>
      <c r="D47" t="s">
        <v>77</v>
      </c>
    </row>
  </sheetData>
  <autoFilter ref="A1:D45" xr:uid="{56A6EB24-F44A-4A41-917A-FE7DE7154BDA}">
    <sortState xmlns:xlrd2="http://schemas.microsoft.com/office/spreadsheetml/2017/richdata2" ref="A2:D45">
      <sortCondition ref="A1:A45"/>
    </sortState>
  </autoFilter>
  <conditionalFormatting sqref="A1:A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63153-4436-D749-870F-75F31B70CB8C}">
  <dimension ref="A1:E13"/>
  <sheetViews>
    <sheetView tabSelected="1" workbookViewId="0">
      <selection activeCell="C22" sqref="C22"/>
    </sheetView>
  </sheetViews>
  <sheetFormatPr baseColWidth="10" defaultRowHeight="16" x14ac:dyDescent="0.2"/>
  <cols>
    <col min="1" max="1" width="13.6640625" bestFit="1" customWidth="1"/>
    <col min="2" max="2" width="22.33203125" bestFit="1" customWidth="1"/>
    <col min="3" max="3" width="23.6640625" style="32" bestFit="1" customWidth="1"/>
    <col min="4" max="4" width="22.33203125" bestFit="1" customWidth="1"/>
  </cols>
  <sheetData>
    <row r="1" spans="1:5" x14ac:dyDescent="0.2">
      <c r="A1" s="6" t="s">
        <v>62</v>
      </c>
      <c r="B1" s="6" t="s">
        <v>63</v>
      </c>
      <c r="C1" s="31" t="s">
        <v>64</v>
      </c>
      <c r="D1" s="6" t="s">
        <v>65</v>
      </c>
      <c r="E1" s="6" t="s">
        <v>121</v>
      </c>
    </row>
    <row r="2" spans="1:5" x14ac:dyDescent="0.2">
      <c r="A2" t="s">
        <v>66</v>
      </c>
      <c r="B2" t="s">
        <v>67</v>
      </c>
      <c r="C2" s="32">
        <v>46053</v>
      </c>
      <c r="D2" t="s">
        <v>67</v>
      </c>
      <c r="E2" t="s">
        <v>122</v>
      </c>
    </row>
    <row r="3" spans="1:5" x14ac:dyDescent="0.2">
      <c r="A3" t="s">
        <v>68</v>
      </c>
      <c r="B3" t="s">
        <v>69</v>
      </c>
      <c r="C3" s="32">
        <v>46075</v>
      </c>
      <c r="D3" t="s">
        <v>70</v>
      </c>
      <c r="E3" t="s">
        <v>123</v>
      </c>
    </row>
    <row r="4" spans="1:5" x14ac:dyDescent="0.2">
      <c r="A4" t="s">
        <v>71</v>
      </c>
      <c r="B4" t="s">
        <v>72</v>
      </c>
      <c r="C4" s="32">
        <v>46110</v>
      </c>
      <c r="D4" t="s">
        <v>73</v>
      </c>
      <c r="E4" t="s">
        <v>123</v>
      </c>
    </row>
    <row r="5" spans="1:5" x14ac:dyDescent="0.2">
      <c r="A5" t="s">
        <v>74</v>
      </c>
      <c r="B5" t="s">
        <v>75</v>
      </c>
      <c r="C5" s="32">
        <v>46131</v>
      </c>
      <c r="D5" t="s">
        <v>75</v>
      </c>
      <c r="E5" t="s">
        <v>123</v>
      </c>
    </row>
    <row r="6" spans="1:5" x14ac:dyDescent="0.2">
      <c r="A6" t="s">
        <v>10</v>
      </c>
      <c r="B6" t="s">
        <v>76</v>
      </c>
      <c r="C6" s="32">
        <v>46159</v>
      </c>
      <c r="D6" t="s">
        <v>76</v>
      </c>
      <c r="E6" t="s">
        <v>123</v>
      </c>
    </row>
    <row r="7" spans="1:5" x14ac:dyDescent="0.2">
      <c r="A7" t="s">
        <v>103</v>
      </c>
      <c r="B7" t="s">
        <v>104</v>
      </c>
      <c r="C7" s="32">
        <v>46201</v>
      </c>
      <c r="D7" t="s">
        <v>104</v>
      </c>
      <c r="E7" t="s">
        <v>123</v>
      </c>
    </row>
    <row r="8" spans="1:5" x14ac:dyDescent="0.2">
      <c r="A8" t="s">
        <v>106</v>
      </c>
      <c r="B8" t="s">
        <v>107</v>
      </c>
      <c r="C8" s="32" t="s">
        <v>108</v>
      </c>
      <c r="D8" t="s">
        <v>107</v>
      </c>
      <c r="E8" t="s">
        <v>123</v>
      </c>
    </row>
    <row r="9" spans="1:5" x14ac:dyDescent="0.2">
      <c r="A9" t="s">
        <v>110</v>
      </c>
      <c r="B9" t="s">
        <v>67</v>
      </c>
      <c r="C9" s="32" t="s">
        <v>109</v>
      </c>
      <c r="D9" t="s">
        <v>67</v>
      </c>
      <c r="E9" t="s">
        <v>123</v>
      </c>
    </row>
    <row r="10" spans="1:5" x14ac:dyDescent="0.2">
      <c r="A10" t="s">
        <v>111</v>
      </c>
      <c r="B10" t="s">
        <v>116</v>
      </c>
      <c r="C10" s="32" t="s">
        <v>117</v>
      </c>
      <c r="D10" t="s">
        <v>116</v>
      </c>
      <c r="E10" t="s">
        <v>123</v>
      </c>
    </row>
    <row r="11" spans="1:5" x14ac:dyDescent="0.2">
      <c r="A11" t="s">
        <v>112</v>
      </c>
      <c r="B11" t="s">
        <v>115</v>
      </c>
      <c r="C11" s="32" t="s">
        <v>118</v>
      </c>
      <c r="D11" t="s">
        <v>115</v>
      </c>
      <c r="E11" t="s">
        <v>123</v>
      </c>
    </row>
    <row r="12" spans="1:5" x14ac:dyDescent="0.2">
      <c r="A12" t="s">
        <v>113</v>
      </c>
      <c r="B12" t="s">
        <v>119</v>
      </c>
      <c r="C12" s="32">
        <v>46320</v>
      </c>
      <c r="D12" t="s">
        <v>119</v>
      </c>
      <c r="E12" t="s">
        <v>123</v>
      </c>
    </row>
    <row r="13" spans="1:5" x14ac:dyDescent="0.2">
      <c r="A13" t="s">
        <v>114</v>
      </c>
      <c r="B13" t="s">
        <v>120</v>
      </c>
      <c r="C13" s="32">
        <v>46341</v>
      </c>
      <c r="D13" t="s">
        <v>120</v>
      </c>
      <c r="E13" t="s">
        <v>123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800D8-26AB-5145-974D-2E86BCED24A0}">
  <sheetPr filterMode="1"/>
  <dimension ref="A1:N152"/>
  <sheetViews>
    <sheetView workbookViewId="0">
      <selection activeCell="F143" sqref="F143"/>
    </sheetView>
  </sheetViews>
  <sheetFormatPr baseColWidth="10" defaultRowHeight="16" x14ac:dyDescent="0.2"/>
  <cols>
    <col min="3" max="3" width="14.6640625" bestFit="1" customWidth="1"/>
    <col min="4" max="10" width="10.83203125" style="1"/>
    <col min="12" max="12" width="15.6640625" bestFit="1" customWidth="1"/>
  </cols>
  <sheetData>
    <row r="1" spans="1:14" ht="34" x14ac:dyDescent="0.2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124</v>
      </c>
      <c r="L1" s="3" t="s">
        <v>126</v>
      </c>
    </row>
    <row r="2" spans="1:14" hidden="1" x14ac:dyDescent="0.2">
      <c r="A2" t="s">
        <v>66</v>
      </c>
      <c r="B2">
        <f>_xlfn.XLOOKUP(C2,Players!B:B,Players!A:A)</f>
        <v>36</v>
      </c>
      <c r="C2" t="s">
        <v>21</v>
      </c>
      <c r="D2" s="1" t="s">
        <v>12</v>
      </c>
      <c r="E2" s="1">
        <v>9</v>
      </c>
      <c r="F2" s="1">
        <v>79</v>
      </c>
      <c r="G2" s="1">
        <v>70</v>
      </c>
      <c r="H2" s="1">
        <v>36</v>
      </c>
      <c r="I2" s="1">
        <v>43</v>
      </c>
      <c r="J2" s="1" t="s">
        <v>105</v>
      </c>
      <c r="K2" t="s">
        <v>125</v>
      </c>
    </row>
    <row r="3" spans="1:14" hidden="1" x14ac:dyDescent="0.2">
      <c r="A3" t="s">
        <v>66</v>
      </c>
      <c r="B3">
        <f>_xlfn.XLOOKUP(C3,Players!B:B,Players!A:A)</f>
        <v>34</v>
      </c>
      <c r="C3" t="s">
        <v>25</v>
      </c>
      <c r="D3" s="1" t="s">
        <v>12</v>
      </c>
      <c r="E3" s="1">
        <v>15</v>
      </c>
      <c r="F3" s="1">
        <v>85</v>
      </c>
      <c r="G3" s="1">
        <v>70</v>
      </c>
      <c r="H3" s="1">
        <v>42</v>
      </c>
      <c r="I3" s="1">
        <v>43</v>
      </c>
      <c r="J3" s="1" t="s">
        <v>105</v>
      </c>
      <c r="K3" t="s">
        <v>125</v>
      </c>
    </row>
    <row r="4" spans="1:14" hidden="1" x14ac:dyDescent="0.2">
      <c r="A4" t="s">
        <v>66</v>
      </c>
      <c r="B4">
        <f>_xlfn.XLOOKUP(C4,Players!B:B,Players!A:A)</f>
        <v>12</v>
      </c>
      <c r="C4" t="s">
        <v>46</v>
      </c>
      <c r="D4" s="1" t="s">
        <v>12</v>
      </c>
      <c r="E4" s="1">
        <v>19</v>
      </c>
      <c r="F4" s="1">
        <v>92</v>
      </c>
      <c r="G4" s="1">
        <v>73</v>
      </c>
      <c r="H4" s="1">
        <v>46</v>
      </c>
      <c r="I4" s="1">
        <v>46</v>
      </c>
      <c r="J4" s="1" t="s">
        <v>105</v>
      </c>
      <c r="K4" t="s">
        <v>125</v>
      </c>
      <c r="N4" t="s">
        <v>100</v>
      </c>
    </row>
    <row r="5" spans="1:14" hidden="1" x14ac:dyDescent="0.2">
      <c r="A5" t="s">
        <v>66</v>
      </c>
      <c r="B5">
        <f>_xlfn.XLOOKUP(C5,Players!B:B,Players!A:A)</f>
        <v>35</v>
      </c>
      <c r="C5" t="s">
        <v>15</v>
      </c>
      <c r="D5" s="1" t="s">
        <v>12</v>
      </c>
      <c r="E5" s="1">
        <v>20</v>
      </c>
      <c r="F5" s="1">
        <v>93</v>
      </c>
      <c r="G5" s="1">
        <v>73</v>
      </c>
      <c r="H5" s="1">
        <v>46</v>
      </c>
      <c r="I5" s="1">
        <v>47</v>
      </c>
      <c r="J5" s="1" t="s">
        <v>105</v>
      </c>
      <c r="K5" t="s">
        <v>125</v>
      </c>
    </row>
    <row r="6" spans="1:14" hidden="1" x14ac:dyDescent="0.2">
      <c r="A6" t="s">
        <v>66</v>
      </c>
      <c r="B6">
        <f>_xlfn.XLOOKUP(C6,Players!B:B,Players!A:A)</f>
        <v>8</v>
      </c>
      <c r="C6" t="s">
        <v>44</v>
      </c>
      <c r="D6" s="1" t="s">
        <v>12</v>
      </c>
      <c r="E6" s="1">
        <v>18</v>
      </c>
      <c r="F6" s="1">
        <v>94</v>
      </c>
      <c r="G6" s="1">
        <v>76</v>
      </c>
      <c r="H6" s="1">
        <v>45</v>
      </c>
      <c r="I6" s="1">
        <v>49</v>
      </c>
      <c r="J6" s="1" t="s">
        <v>105</v>
      </c>
      <c r="K6" t="s">
        <v>125</v>
      </c>
    </row>
    <row r="7" spans="1:14" hidden="1" x14ac:dyDescent="0.2">
      <c r="A7" t="s">
        <v>66</v>
      </c>
      <c r="B7">
        <f>_xlfn.XLOOKUP(C7,Players!B:B,Players!A:A)</f>
        <v>37</v>
      </c>
      <c r="C7" t="s">
        <v>55</v>
      </c>
      <c r="D7" s="1" t="s">
        <v>12</v>
      </c>
      <c r="E7" s="1">
        <v>5</v>
      </c>
      <c r="F7" s="1">
        <v>84</v>
      </c>
      <c r="G7" s="1">
        <v>79</v>
      </c>
      <c r="H7" s="1">
        <v>39</v>
      </c>
      <c r="I7" s="1">
        <v>45</v>
      </c>
      <c r="J7" s="1" t="s">
        <v>105</v>
      </c>
      <c r="K7" t="s">
        <v>125</v>
      </c>
    </row>
    <row r="8" spans="1:14" hidden="1" x14ac:dyDescent="0.2">
      <c r="A8" t="s">
        <v>66</v>
      </c>
      <c r="B8">
        <f>_xlfn.XLOOKUP(C8,Players!B:B,Players!A:A)</f>
        <v>16</v>
      </c>
      <c r="C8" t="s">
        <v>47</v>
      </c>
      <c r="D8" s="1" t="s">
        <v>12</v>
      </c>
      <c r="E8" s="1">
        <v>16</v>
      </c>
      <c r="F8" s="1">
        <v>97</v>
      </c>
      <c r="G8" s="1">
        <v>81</v>
      </c>
      <c r="H8" s="1">
        <v>48</v>
      </c>
      <c r="I8" s="1">
        <v>49</v>
      </c>
      <c r="J8" s="1" t="s">
        <v>105</v>
      </c>
      <c r="K8" t="s">
        <v>125</v>
      </c>
    </row>
    <row r="9" spans="1:14" hidden="1" x14ac:dyDescent="0.2">
      <c r="A9" t="s">
        <v>66</v>
      </c>
      <c r="B9">
        <f>_xlfn.XLOOKUP(C9,Players!B:B,Players!A:A)</f>
        <v>17</v>
      </c>
      <c r="C9" t="s">
        <v>17</v>
      </c>
      <c r="D9" s="1" t="s">
        <v>12</v>
      </c>
      <c r="E9" s="1">
        <v>13</v>
      </c>
      <c r="F9" s="1">
        <v>96</v>
      </c>
      <c r="G9" s="1">
        <v>83</v>
      </c>
      <c r="H9" s="1">
        <v>44</v>
      </c>
      <c r="I9" s="1">
        <v>52</v>
      </c>
      <c r="J9" s="1" t="s">
        <v>105</v>
      </c>
      <c r="K9" t="s">
        <v>125</v>
      </c>
    </row>
    <row r="10" spans="1:14" hidden="1" x14ac:dyDescent="0.2">
      <c r="A10" t="s">
        <v>66</v>
      </c>
      <c r="B10">
        <f>_xlfn.XLOOKUP(C10,Players!B:B,Players!A:A)</f>
        <v>6</v>
      </c>
      <c r="C10" t="s">
        <v>22</v>
      </c>
      <c r="D10" s="1" t="s">
        <v>12</v>
      </c>
      <c r="E10" s="1">
        <v>19</v>
      </c>
      <c r="F10" s="1">
        <v>102</v>
      </c>
      <c r="G10" s="1">
        <v>83</v>
      </c>
      <c r="H10" s="1">
        <v>51</v>
      </c>
      <c r="I10" s="1">
        <v>51</v>
      </c>
      <c r="J10" s="1" t="s">
        <v>105</v>
      </c>
      <c r="K10" t="s">
        <v>125</v>
      </c>
    </row>
    <row r="11" spans="1:14" hidden="1" x14ac:dyDescent="0.2">
      <c r="A11" t="s">
        <v>66</v>
      </c>
      <c r="B11">
        <f>_xlfn.XLOOKUP(C11,Players!B:B,Players!A:A)</f>
        <v>15</v>
      </c>
      <c r="C11" t="s">
        <v>11</v>
      </c>
      <c r="D11" s="1" t="s">
        <v>12</v>
      </c>
      <c r="E11" s="1">
        <v>10</v>
      </c>
      <c r="F11" s="1">
        <v>95</v>
      </c>
      <c r="G11" s="1">
        <v>85</v>
      </c>
      <c r="H11" s="1">
        <v>47</v>
      </c>
      <c r="I11" s="1">
        <v>48</v>
      </c>
      <c r="J11" s="1" t="s">
        <v>105</v>
      </c>
      <c r="K11" t="s">
        <v>125</v>
      </c>
    </row>
    <row r="12" spans="1:14" hidden="1" x14ac:dyDescent="0.2">
      <c r="A12" t="s">
        <v>66</v>
      </c>
      <c r="B12">
        <f>_xlfn.XLOOKUP(C12,Players!B:B,Players!A:A)</f>
        <v>27</v>
      </c>
      <c r="C12" t="s">
        <v>51</v>
      </c>
      <c r="D12" s="1" t="s">
        <v>12</v>
      </c>
      <c r="E12" s="1">
        <v>17</v>
      </c>
      <c r="F12" s="1">
        <v>103</v>
      </c>
      <c r="G12" s="1">
        <v>86</v>
      </c>
      <c r="H12" s="1">
        <v>51</v>
      </c>
      <c r="I12" s="1">
        <v>52</v>
      </c>
      <c r="J12" s="1" t="s">
        <v>105</v>
      </c>
      <c r="K12" t="s">
        <v>125</v>
      </c>
    </row>
    <row r="13" spans="1:14" hidden="1" x14ac:dyDescent="0.2">
      <c r="A13" t="s">
        <v>66</v>
      </c>
      <c r="B13">
        <f>_xlfn.XLOOKUP(C13,Players!B:B,Players!A:A)</f>
        <v>20</v>
      </c>
      <c r="C13" t="s">
        <v>18</v>
      </c>
      <c r="D13" s="1" t="s">
        <v>12</v>
      </c>
      <c r="E13" s="1">
        <v>8</v>
      </c>
      <c r="F13" s="1">
        <v>95</v>
      </c>
      <c r="G13" s="1">
        <v>87</v>
      </c>
      <c r="H13" s="1">
        <v>47</v>
      </c>
      <c r="I13" s="1">
        <v>48</v>
      </c>
      <c r="J13" s="1" t="s">
        <v>105</v>
      </c>
      <c r="K13" t="s">
        <v>125</v>
      </c>
    </row>
    <row r="14" spans="1:14" hidden="1" x14ac:dyDescent="0.2">
      <c r="A14" t="s">
        <v>66</v>
      </c>
      <c r="B14">
        <f>_xlfn.XLOOKUP(C14,Players!B:B,Players!A:A)</f>
        <v>7</v>
      </c>
      <c r="C14" t="s">
        <v>16</v>
      </c>
      <c r="D14" s="1" t="s">
        <v>12</v>
      </c>
      <c r="E14" s="1">
        <v>13</v>
      </c>
      <c r="F14" s="1">
        <v>100</v>
      </c>
      <c r="G14" s="1">
        <v>87</v>
      </c>
      <c r="H14" s="1">
        <v>50</v>
      </c>
      <c r="I14" s="1">
        <v>50</v>
      </c>
      <c r="J14" s="1" t="s">
        <v>105</v>
      </c>
      <c r="K14" t="s">
        <v>125</v>
      </c>
    </row>
    <row r="15" spans="1:14" hidden="1" x14ac:dyDescent="0.2">
      <c r="A15" t="s">
        <v>66</v>
      </c>
      <c r="B15">
        <f>_xlfn.XLOOKUP(C15,Players!B:B,Players!A:A)</f>
        <v>45</v>
      </c>
      <c r="C15" t="s">
        <v>101</v>
      </c>
      <c r="D15" s="1" t="s">
        <v>12</v>
      </c>
      <c r="E15" s="1">
        <v>17</v>
      </c>
      <c r="F15" s="1">
        <v>104</v>
      </c>
      <c r="G15" s="1">
        <v>87</v>
      </c>
      <c r="H15" s="1">
        <v>53</v>
      </c>
      <c r="I15" s="1">
        <v>51</v>
      </c>
      <c r="J15" s="1" t="s">
        <v>105</v>
      </c>
      <c r="K15" t="s">
        <v>125</v>
      </c>
    </row>
    <row r="16" spans="1:14" hidden="1" x14ac:dyDescent="0.2">
      <c r="A16" t="s">
        <v>66</v>
      </c>
      <c r="B16">
        <f>_xlfn.XLOOKUP(C16,Players!B:B,Players!A:A)</f>
        <v>3</v>
      </c>
      <c r="C16" t="s">
        <v>42</v>
      </c>
      <c r="D16" s="1" t="s">
        <v>12</v>
      </c>
      <c r="E16" s="1">
        <v>7</v>
      </c>
      <c r="F16" s="1">
        <v>95</v>
      </c>
      <c r="G16" s="1">
        <v>88</v>
      </c>
      <c r="H16" s="1">
        <v>51</v>
      </c>
      <c r="I16" s="1">
        <v>44</v>
      </c>
      <c r="J16" s="1" t="s">
        <v>105</v>
      </c>
      <c r="K16" t="s">
        <v>125</v>
      </c>
    </row>
    <row r="17" spans="1:11" hidden="1" x14ac:dyDescent="0.2">
      <c r="A17" t="s">
        <v>66</v>
      </c>
      <c r="B17">
        <f>_xlfn.XLOOKUP(C17,Players!B:B,Players!A:A)</f>
        <v>32</v>
      </c>
      <c r="C17" t="s">
        <v>53</v>
      </c>
      <c r="D17" s="1" t="s">
        <v>12</v>
      </c>
      <c r="E17" s="1">
        <v>10</v>
      </c>
      <c r="F17" s="1">
        <v>103</v>
      </c>
      <c r="G17" s="1">
        <v>93</v>
      </c>
      <c r="H17" s="1">
        <v>47</v>
      </c>
      <c r="I17" s="1">
        <v>56</v>
      </c>
      <c r="J17" s="1" t="s">
        <v>105</v>
      </c>
      <c r="K17" t="s">
        <v>125</v>
      </c>
    </row>
    <row r="18" spans="1:11" hidden="1" x14ac:dyDescent="0.2">
      <c r="A18" t="s">
        <v>66</v>
      </c>
      <c r="B18">
        <f>_xlfn.XLOOKUP(C18,Players!B:B,Players!A:A)</f>
        <v>29</v>
      </c>
      <c r="C18" t="s">
        <v>20</v>
      </c>
      <c r="D18" s="1" t="s">
        <v>12</v>
      </c>
      <c r="E18" s="1">
        <v>11</v>
      </c>
      <c r="F18" s="1">
        <v>105</v>
      </c>
      <c r="G18" s="1">
        <v>94</v>
      </c>
      <c r="H18" s="1">
        <v>49</v>
      </c>
      <c r="I18" s="1">
        <v>56</v>
      </c>
      <c r="J18" s="1" t="s">
        <v>105</v>
      </c>
      <c r="K18" t="s">
        <v>125</v>
      </c>
    </row>
    <row r="19" spans="1:11" hidden="1" x14ac:dyDescent="0.2">
      <c r="A19" t="s">
        <v>66</v>
      </c>
      <c r="B19">
        <f>_xlfn.XLOOKUP(C19,Players!B:B,Players!A:A)</f>
        <v>23</v>
      </c>
      <c r="C19" t="s">
        <v>50</v>
      </c>
      <c r="D19" s="1" t="s">
        <v>27</v>
      </c>
      <c r="E19" s="1">
        <v>25</v>
      </c>
      <c r="F19" s="1">
        <v>97</v>
      </c>
      <c r="G19" s="1">
        <v>72</v>
      </c>
      <c r="H19" s="1">
        <v>50</v>
      </c>
      <c r="I19" s="1">
        <v>47</v>
      </c>
      <c r="J19" s="1" t="s">
        <v>105</v>
      </c>
      <c r="K19" t="s">
        <v>125</v>
      </c>
    </row>
    <row r="20" spans="1:11" hidden="1" x14ac:dyDescent="0.2">
      <c r="A20" t="s">
        <v>66</v>
      </c>
      <c r="B20">
        <f>_xlfn.XLOOKUP(C20,Players!B:B,Players!A:A)</f>
        <v>26</v>
      </c>
      <c r="C20" t="s">
        <v>19</v>
      </c>
      <c r="D20" s="1" t="s">
        <v>27</v>
      </c>
      <c r="E20" s="1">
        <v>21</v>
      </c>
      <c r="F20" s="1">
        <v>95</v>
      </c>
      <c r="G20" s="1">
        <v>74</v>
      </c>
      <c r="H20" s="1">
        <v>51</v>
      </c>
      <c r="I20" s="1">
        <v>44</v>
      </c>
      <c r="J20" s="1" t="s">
        <v>105</v>
      </c>
      <c r="K20" t="s">
        <v>125</v>
      </c>
    </row>
    <row r="21" spans="1:11" hidden="1" x14ac:dyDescent="0.2">
      <c r="A21" t="s">
        <v>66</v>
      </c>
      <c r="B21">
        <f>_xlfn.XLOOKUP(C21,Players!B:B,Players!A:A)</f>
        <v>10</v>
      </c>
      <c r="C21" t="s">
        <v>28</v>
      </c>
      <c r="D21" s="1" t="s">
        <v>27</v>
      </c>
      <c r="E21" s="1">
        <v>21</v>
      </c>
      <c r="F21" s="1">
        <v>96</v>
      </c>
      <c r="G21" s="1">
        <v>75</v>
      </c>
      <c r="H21" s="1">
        <v>47</v>
      </c>
      <c r="I21" s="1">
        <v>49</v>
      </c>
      <c r="J21" s="1" t="s">
        <v>105</v>
      </c>
      <c r="K21" t="s">
        <v>125</v>
      </c>
    </row>
    <row r="22" spans="1:11" hidden="1" x14ac:dyDescent="0.2">
      <c r="A22" t="s">
        <v>66</v>
      </c>
      <c r="B22">
        <f>_xlfn.XLOOKUP(C22,Players!B:B,Players!A:A)</f>
        <v>28</v>
      </c>
      <c r="C22" t="s">
        <v>35</v>
      </c>
      <c r="D22" s="1" t="s">
        <v>27</v>
      </c>
      <c r="E22" s="1">
        <v>34</v>
      </c>
      <c r="F22" s="1">
        <v>109</v>
      </c>
      <c r="G22" s="1">
        <v>75</v>
      </c>
      <c r="H22" s="1">
        <v>54</v>
      </c>
      <c r="I22" s="1">
        <v>55</v>
      </c>
      <c r="J22" s="1" t="s">
        <v>105</v>
      </c>
      <c r="K22" t="s">
        <v>125</v>
      </c>
    </row>
    <row r="23" spans="1:11" hidden="1" x14ac:dyDescent="0.2">
      <c r="A23" t="s">
        <v>66</v>
      </c>
      <c r="B23">
        <f>_xlfn.XLOOKUP(C23,Players!B:B,Players!A:A)</f>
        <v>9</v>
      </c>
      <c r="C23" t="s">
        <v>37</v>
      </c>
      <c r="D23" s="1" t="s">
        <v>27</v>
      </c>
      <c r="E23" s="1">
        <v>20</v>
      </c>
      <c r="F23" s="1">
        <v>96</v>
      </c>
      <c r="G23" s="1">
        <v>76</v>
      </c>
      <c r="H23" s="1">
        <v>43</v>
      </c>
      <c r="I23" s="1">
        <v>53</v>
      </c>
      <c r="J23" s="1" t="s">
        <v>105</v>
      </c>
      <c r="K23" t="s">
        <v>125</v>
      </c>
    </row>
    <row r="24" spans="1:11" hidden="1" x14ac:dyDescent="0.2">
      <c r="A24" t="s">
        <v>66</v>
      </c>
      <c r="B24">
        <f>_xlfn.XLOOKUP(C24,Players!B:B,Players!A:A)</f>
        <v>1</v>
      </c>
      <c r="C24" t="s">
        <v>30</v>
      </c>
      <c r="D24" s="1" t="s">
        <v>27</v>
      </c>
      <c r="E24" s="1">
        <v>21</v>
      </c>
      <c r="F24" s="1">
        <v>98</v>
      </c>
      <c r="G24" s="1">
        <v>77</v>
      </c>
      <c r="H24" s="1">
        <v>47</v>
      </c>
      <c r="I24" s="1">
        <v>51</v>
      </c>
      <c r="J24" s="1" t="s">
        <v>105</v>
      </c>
      <c r="K24" t="s">
        <v>125</v>
      </c>
    </row>
    <row r="25" spans="1:11" hidden="1" x14ac:dyDescent="0.2">
      <c r="A25" t="s">
        <v>66</v>
      </c>
      <c r="B25">
        <f>_xlfn.XLOOKUP(C25,Players!B:B,Players!A:A)</f>
        <v>19</v>
      </c>
      <c r="C25" t="s">
        <v>34</v>
      </c>
      <c r="D25" s="1" t="s">
        <v>27</v>
      </c>
      <c r="E25" s="1">
        <v>24</v>
      </c>
      <c r="F25" s="1">
        <v>102</v>
      </c>
      <c r="G25" s="1">
        <v>78</v>
      </c>
      <c r="H25" s="1">
        <v>47</v>
      </c>
      <c r="I25" s="1">
        <v>55</v>
      </c>
      <c r="J25" s="1" t="s">
        <v>105</v>
      </c>
      <c r="K25" t="s">
        <v>125</v>
      </c>
    </row>
    <row r="26" spans="1:11" hidden="1" x14ac:dyDescent="0.2">
      <c r="A26" t="s">
        <v>66</v>
      </c>
      <c r="B26">
        <f>_xlfn.XLOOKUP(C26,Players!B:B,Players!A:A)</f>
        <v>2</v>
      </c>
      <c r="C26" t="s">
        <v>41</v>
      </c>
      <c r="D26" s="1" t="s">
        <v>27</v>
      </c>
      <c r="E26" s="1">
        <v>36</v>
      </c>
      <c r="F26" s="1">
        <v>116</v>
      </c>
      <c r="G26" s="1">
        <v>80</v>
      </c>
      <c r="H26" s="1">
        <v>58</v>
      </c>
      <c r="I26" s="1">
        <v>58</v>
      </c>
      <c r="J26" s="1" t="s">
        <v>105</v>
      </c>
      <c r="K26" t="s">
        <v>125</v>
      </c>
    </row>
    <row r="27" spans="1:11" hidden="1" x14ac:dyDescent="0.2">
      <c r="A27" t="s">
        <v>66</v>
      </c>
      <c r="B27">
        <f>_xlfn.XLOOKUP(C27,Players!B:B,Players!A:A)</f>
        <v>30</v>
      </c>
      <c r="C27" t="s">
        <v>36</v>
      </c>
      <c r="D27" s="1" t="s">
        <v>27</v>
      </c>
      <c r="E27" s="1">
        <v>36</v>
      </c>
      <c r="F27" s="1">
        <v>117</v>
      </c>
      <c r="G27" s="1">
        <v>81</v>
      </c>
      <c r="H27" s="1">
        <v>59</v>
      </c>
      <c r="I27" s="1">
        <v>58</v>
      </c>
      <c r="J27" s="1" t="s">
        <v>105</v>
      </c>
      <c r="K27" t="s">
        <v>125</v>
      </c>
    </row>
    <row r="28" spans="1:11" hidden="1" x14ac:dyDescent="0.2">
      <c r="A28" t="s">
        <v>66</v>
      </c>
      <c r="B28">
        <f>_xlfn.XLOOKUP(C28,Players!B:B,Players!A:A)</f>
        <v>33</v>
      </c>
      <c r="C28" t="s">
        <v>54</v>
      </c>
      <c r="D28" s="1" t="s">
        <v>27</v>
      </c>
      <c r="E28" s="1">
        <v>22</v>
      </c>
      <c r="F28" s="1">
        <v>104</v>
      </c>
      <c r="G28" s="1">
        <v>82</v>
      </c>
      <c r="H28" s="1">
        <v>48</v>
      </c>
      <c r="I28" s="1">
        <v>56</v>
      </c>
      <c r="J28" s="1" t="s">
        <v>105</v>
      </c>
      <c r="K28" t="s">
        <v>125</v>
      </c>
    </row>
    <row r="29" spans="1:11" hidden="1" x14ac:dyDescent="0.2">
      <c r="A29" t="s">
        <v>66</v>
      </c>
      <c r="B29">
        <f>_xlfn.XLOOKUP(C29,Players!B:B,Players!A:A)</f>
        <v>24</v>
      </c>
      <c r="C29" t="s">
        <v>31</v>
      </c>
      <c r="D29" s="1" t="s">
        <v>27</v>
      </c>
      <c r="E29" s="1">
        <v>25</v>
      </c>
      <c r="F29" s="1">
        <v>108</v>
      </c>
      <c r="G29" s="1">
        <v>83</v>
      </c>
      <c r="H29" s="1">
        <v>49</v>
      </c>
      <c r="I29" s="1">
        <v>59</v>
      </c>
      <c r="J29" s="1" t="s">
        <v>105</v>
      </c>
      <c r="K29" t="s">
        <v>125</v>
      </c>
    </row>
    <row r="30" spans="1:11" hidden="1" x14ac:dyDescent="0.2">
      <c r="A30" t="s">
        <v>66</v>
      </c>
      <c r="B30">
        <f>_xlfn.XLOOKUP(C30,Players!B:B,Players!A:A)</f>
        <v>13</v>
      </c>
      <c r="C30" t="s">
        <v>14</v>
      </c>
      <c r="D30" s="1" t="s">
        <v>27</v>
      </c>
      <c r="E30" s="1">
        <v>21</v>
      </c>
      <c r="F30" s="1">
        <v>106</v>
      </c>
      <c r="G30" s="1">
        <v>85</v>
      </c>
      <c r="H30" s="1">
        <v>51</v>
      </c>
      <c r="I30" s="1">
        <v>55</v>
      </c>
      <c r="J30" s="1" t="s">
        <v>105</v>
      </c>
      <c r="K30" t="s">
        <v>125</v>
      </c>
    </row>
    <row r="31" spans="1:11" hidden="1" x14ac:dyDescent="0.2">
      <c r="A31" t="s">
        <v>66</v>
      </c>
      <c r="B31">
        <f>_xlfn.XLOOKUP(C31,Players!B:B,Players!A:A)</f>
        <v>46</v>
      </c>
      <c r="C31" t="s">
        <v>102</v>
      </c>
      <c r="D31" s="1" t="s">
        <v>27</v>
      </c>
      <c r="E31" s="1">
        <v>21</v>
      </c>
      <c r="F31" s="1">
        <v>108</v>
      </c>
      <c r="G31" s="1">
        <v>87</v>
      </c>
      <c r="H31" s="1">
        <v>52</v>
      </c>
      <c r="I31" s="1">
        <v>56</v>
      </c>
      <c r="J31" s="1" t="s">
        <v>105</v>
      </c>
      <c r="K31" t="s">
        <v>125</v>
      </c>
    </row>
    <row r="32" spans="1:11" hidden="1" x14ac:dyDescent="0.2">
      <c r="A32" t="s">
        <v>66</v>
      </c>
      <c r="B32">
        <f>_xlfn.XLOOKUP(C32,Players!B:B,Players!A:A)</f>
        <v>39</v>
      </c>
      <c r="C32" t="s">
        <v>56</v>
      </c>
      <c r="D32" s="1" t="s">
        <v>27</v>
      </c>
      <c r="E32" s="1">
        <v>30</v>
      </c>
      <c r="F32" s="1">
        <v>117</v>
      </c>
      <c r="G32" s="1">
        <v>87</v>
      </c>
      <c r="H32" s="1">
        <v>59</v>
      </c>
      <c r="I32" s="1">
        <v>58</v>
      </c>
      <c r="J32" s="1" t="s">
        <v>105</v>
      </c>
      <c r="K32" t="s">
        <v>125</v>
      </c>
    </row>
    <row r="33" spans="1:12" hidden="1" x14ac:dyDescent="0.2">
      <c r="A33" t="s">
        <v>66</v>
      </c>
      <c r="B33">
        <f>_xlfn.XLOOKUP(C33,Players!B:B,Players!A:A)</f>
        <v>11</v>
      </c>
      <c r="C33" t="s">
        <v>45</v>
      </c>
      <c r="D33" s="1" t="s">
        <v>27</v>
      </c>
      <c r="E33" s="1">
        <v>31</v>
      </c>
      <c r="F33" s="1">
        <v>118</v>
      </c>
      <c r="G33" s="1">
        <v>87</v>
      </c>
      <c r="H33" s="1">
        <v>64</v>
      </c>
      <c r="I33" s="1">
        <v>54</v>
      </c>
      <c r="J33" s="1" t="s">
        <v>105</v>
      </c>
      <c r="K33" t="s">
        <v>125</v>
      </c>
    </row>
    <row r="34" spans="1:12" hidden="1" x14ac:dyDescent="0.2">
      <c r="A34" t="s">
        <v>66</v>
      </c>
      <c r="B34">
        <f>_xlfn.XLOOKUP(C34,Players!B:B,Players!A:A)</f>
        <v>38</v>
      </c>
      <c r="C34" t="s">
        <v>32</v>
      </c>
      <c r="D34" s="1" t="s">
        <v>27</v>
      </c>
      <c r="E34" s="1">
        <v>20</v>
      </c>
      <c r="F34" s="1">
        <v>108</v>
      </c>
      <c r="G34" s="1">
        <v>88</v>
      </c>
      <c r="H34" s="1">
        <v>53</v>
      </c>
      <c r="I34" s="1">
        <v>55</v>
      </c>
      <c r="J34" s="1" t="s">
        <v>105</v>
      </c>
      <c r="K34" t="s">
        <v>125</v>
      </c>
    </row>
    <row r="35" spans="1:12" hidden="1" x14ac:dyDescent="0.2">
      <c r="A35" t="s">
        <v>66</v>
      </c>
      <c r="B35">
        <f>_xlfn.XLOOKUP(C35,Players!B:B,Players!A:A)</f>
        <v>21</v>
      </c>
      <c r="C35" t="s">
        <v>48</v>
      </c>
      <c r="D35" s="1" t="s">
        <v>27</v>
      </c>
      <c r="E35" s="1">
        <v>20</v>
      </c>
      <c r="F35" s="1">
        <v>113</v>
      </c>
      <c r="G35" s="1">
        <v>93</v>
      </c>
      <c r="H35" s="1">
        <v>58</v>
      </c>
      <c r="I35" s="1">
        <v>55</v>
      </c>
      <c r="J35" s="1" t="s">
        <v>105</v>
      </c>
      <c r="K35" t="s">
        <v>125</v>
      </c>
    </row>
    <row r="36" spans="1:12" hidden="1" x14ac:dyDescent="0.2">
      <c r="A36" t="s">
        <v>66</v>
      </c>
      <c r="B36">
        <f>_xlfn.XLOOKUP(C36,Players!B:B,Players!A:A)</f>
        <v>14</v>
      </c>
      <c r="C36" t="s">
        <v>26</v>
      </c>
      <c r="D36" s="1" t="s">
        <v>27</v>
      </c>
      <c r="E36" s="1">
        <v>36</v>
      </c>
      <c r="F36" s="1">
        <v>129</v>
      </c>
      <c r="G36" s="1">
        <v>93</v>
      </c>
      <c r="H36" s="1">
        <v>53</v>
      </c>
      <c r="I36" s="1">
        <v>76</v>
      </c>
      <c r="J36" s="1" t="s">
        <v>105</v>
      </c>
      <c r="K36" t="s">
        <v>125</v>
      </c>
    </row>
    <row r="37" spans="1:12" hidden="1" x14ac:dyDescent="0.2">
      <c r="A37" t="s">
        <v>66</v>
      </c>
      <c r="B37">
        <f>_xlfn.XLOOKUP(C37,Players!B:B,Players!A:A)</f>
        <v>22</v>
      </c>
      <c r="C37" t="s">
        <v>49</v>
      </c>
      <c r="D37" s="1" t="s">
        <v>27</v>
      </c>
      <c r="E37" s="1">
        <v>24</v>
      </c>
      <c r="F37" s="1">
        <v>118</v>
      </c>
      <c r="G37" s="1">
        <v>94</v>
      </c>
      <c r="H37" s="1">
        <v>59</v>
      </c>
      <c r="I37" s="1">
        <v>59</v>
      </c>
      <c r="J37" s="1" t="s">
        <v>105</v>
      </c>
      <c r="K37" t="s">
        <v>125</v>
      </c>
    </row>
    <row r="38" spans="1:12" hidden="1" x14ac:dyDescent="0.2">
      <c r="A38" t="s">
        <v>68</v>
      </c>
      <c r="B38">
        <f>_xlfn.XLOOKUP(C38,Players!B:B,Players!A:A)</f>
        <v>20</v>
      </c>
      <c r="C38" t="s">
        <v>18</v>
      </c>
      <c r="D38" s="1" t="s">
        <v>12</v>
      </c>
      <c r="E38" s="1">
        <v>9</v>
      </c>
      <c r="F38" s="1">
        <v>83</v>
      </c>
      <c r="G38" s="1">
        <v>74</v>
      </c>
      <c r="H38" s="1">
        <v>39</v>
      </c>
      <c r="I38" s="1">
        <v>44</v>
      </c>
      <c r="J38" s="1" t="s">
        <v>105</v>
      </c>
      <c r="K38" t="s">
        <v>123</v>
      </c>
      <c r="L38" s="1">
        <v>12</v>
      </c>
    </row>
    <row r="39" spans="1:12" hidden="1" x14ac:dyDescent="0.2">
      <c r="A39" t="s">
        <v>68</v>
      </c>
      <c r="B39">
        <f>_xlfn.XLOOKUP(C39,Players!B:B,Players!A:A)</f>
        <v>4</v>
      </c>
      <c r="C39" t="s">
        <v>24</v>
      </c>
      <c r="D39" s="1" t="s">
        <v>12</v>
      </c>
      <c r="E39" s="1">
        <v>20</v>
      </c>
      <c r="F39" s="1">
        <v>98</v>
      </c>
      <c r="G39" s="1">
        <v>78</v>
      </c>
      <c r="H39" s="1">
        <v>47</v>
      </c>
      <c r="I39" s="1">
        <v>51</v>
      </c>
      <c r="J39" s="1" t="s">
        <v>105</v>
      </c>
      <c r="K39" t="s">
        <v>122</v>
      </c>
      <c r="L39" s="1"/>
    </row>
    <row r="40" spans="1:12" hidden="1" x14ac:dyDescent="0.2">
      <c r="A40" t="s">
        <v>68</v>
      </c>
      <c r="B40">
        <f>_xlfn.XLOOKUP(C40,Players!B:B,Players!A:A)</f>
        <v>3</v>
      </c>
      <c r="C40" t="s">
        <v>42</v>
      </c>
      <c r="D40" s="1" t="s">
        <v>12</v>
      </c>
      <c r="E40" s="1">
        <v>8</v>
      </c>
      <c r="F40" s="1">
        <v>89</v>
      </c>
      <c r="G40" s="1">
        <v>81</v>
      </c>
      <c r="H40" s="1">
        <v>43</v>
      </c>
      <c r="I40" s="1">
        <v>46</v>
      </c>
      <c r="J40" s="1" t="s">
        <v>105</v>
      </c>
      <c r="K40" t="s">
        <v>122</v>
      </c>
      <c r="L40" s="1"/>
    </row>
    <row r="41" spans="1:12" hidden="1" x14ac:dyDescent="0.2">
      <c r="A41" t="s">
        <v>68</v>
      </c>
      <c r="B41">
        <f>_xlfn.XLOOKUP(C41,Players!B:B,Players!A:A)</f>
        <v>6</v>
      </c>
      <c r="C41" t="s">
        <v>22</v>
      </c>
      <c r="D41" s="1" t="s">
        <v>12</v>
      </c>
      <c r="E41" s="1">
        <v>21</v>
      </c>
      <c r="F41" s="1">
        <v>102</v>
      </c>
      <c r="G41" s="1">
        <v>81</v>
      </c>
      <c r="H41" s="1">
        <v>52</v>
      </c>
      <c r="I41" s="1">
        <v>50</v>
      </c>
      <c r="J41" s="1" t="s">
        <v>105</v>
      </c>
      <c r="K41" t="s">
        <v>122</v>
      </c>
      <c r="L41" s="1"/>
    </row>
    <row r="42" spans="1:12" hidden="1" x14ac:dyDescent="0.2">
      <c r="A42" t="s">
        <v>68</v>
      </c>
      <c r="B42">
        <f>_xlfn.XLOOKUP(C42,Players!B:B,Players!A:A)</f>
        <v>36</v>
      </c>
      <c r="C42" t="s">
        <v>21</v>
      </c>
      <c r="D42" s="1" t="s">
        <v>12</v>
      </c>
      <c r="E42" s="1">
        <v>9</v>
      </c>
      <c r="F42" s="1">
        <v>92</v>
      </c>
      <c r="G42" s="1">
        <v>83</v>
      </c>
      <c r="H42" s="1">
        <v>48</v>
      </c>
      <c r="I42" s="1">
        <v>44</v>
      </c>
      <c r="J42" s="1" t="s">
        <v>105</v>
      </c>
      <c r="K42" t="s">
        <v>123</v>
      </c>
      <c r="L42" s="1">
        <v>8</v>
      </c>
    </row>
    <row r="43" spans="1:12" hidden="1" x14ac:dyDescent="0.2">
      <c r="A43" t="s">
        <v>68</v>
      </c>
      <c r="B43">
        <f>_xlfn.XLOOKUP(C43,Players!B:B,Players!A:A)</f>
        <v>29</v>
      </c>
      <c r="C43" t="s">
        <v>20</v>
      </c>
      <c r="D43" s="1" t="s">
        <v>12</v>
      </c>
      <c r="E43" s="1">
        <v>13</v>
      </c>
      <c r="F43" s="1">
        <v>96</v>
      </c>
      <c r="G43" s="1">
        <v>83</v>
      </c>
      <c r="H43" s="1">
        <v>48</v>
      </c>
      <c r="I43" s="1">
        <v>48</v>
      </c>
      <c r="J43" s="1" t="s">
        <v>105</v>
      </c>
      <c r="K43" t="s">
        <v>122</v>
      </c>
      <c r="L43" s="1"/>
    </row>
    <row r="44" spans="1:12" hidden="1" x14ac:dyDescent="0.2">
      <c r="A44" t="s">
        <v>68</v>
      </c>
      <c r="B44">
        <f>_xlfn.XLOOKUP(C44,Players!B:B,Players!A:A)</f>
        <v>35</v>
      </c>
      <c r="C44" t="s">
        <v>15</v>
      </c>
      <c r="D44" s="1" t="s">
        <v>12</v>
      </c>
      <c r="E44" s="1">
        <v>21</v>
      </c>
      <c r="F44" s="1">
        <v>105</v>
      </c>
      <c r="G44" s="1">
        <v>84</v>
      </c>
      <c r="H44" s="1">
        <v>53</v>
      </c>
      <c r="I44" s="1">
        <v>52</v>
      </c>
      <c r="J44" s="1" t="s">
        <v>105</v>
      </c>
      <c r="K44" t="s">
        <v>122</v>
      </c>
      <c r="L44" s="1"/>
    </row>
    <row r="45" spans="1:12" hidden="1" x14ac:dyDescent="0.2">
      <c r="A45" t="s">
        <v>68</v>
      </c>
      <c r="B45">
        <f>_xlfn.XLOOKUP(C45,Players!B:B,Players!A:A)</f>
        <v>32</v>
      </c>
      <c r="C45" t="s">
        <v>53</v>
      </c>
      <c r="D45" s="1" t="s">
        <v>12</v>
      </c>
      <c r="E45" s="1">
        <v>11</v>
      </c>
      <c r="F45" s="1">
        <v>100</v>
      </c>
      <c r="G45" s="1">
        <v>89</v>
      </c>
      <c r="H45" s="1">
        <v>53</v>
      </c>
      <c r="I45" s="1">
        <v>47</v>
      </c>
      <c r="J45" s="1" t="s">
        <v>105</v>
      </c>
      <c r="K45" t="s">
        <v>122</v>
      </c>
      <c r="L45" s="1"/>
    </row>
    <row r="46" spans="1:12" hidden="1" x14ac:dyDescent="0.2">
      <c r="A46" t="s">
        <v>68</v>
      </c>
      <c r="B46">
        <f>_xlfn.XLOOKUP(C46,Players!B:B,Players!A:A)</f>
        <v>34</v>
      </c>
      <c r="C46" t="s">
        <v>25</v>
      </c>
      <c r="D46" s="1" t="s">
        <v>12</v>
      </c>
      <c r="E46" s="1">
        <v>14</v>
      </c>
      <c r="F46" s="1">
        <v>104</v>
      </c>
      <c r="G46" s="1">
        <v>90</v>
      </c>
      <c r="H46" s="1">
        <v>59</v>
      </c>
      <c r="I46" s="1">
        <v>45</v>
      </c>
      <c r="J46" s="1" t="s">
        <v>105</v>
      </c>
      <c r="K46" t="s">
        <v>123</v>
      </c>
      <c r="L46" s="1">
        <v>4</v>
      </c>
    </row>
    <row r="47" spans="1:12" hidden="1" x14ac:dyDescent="0.2">
      <c r="A47" t="s">
        <v>68</v>
      </c>
      <c r="B47">
        <f>_xlfn.XLOOKUP(C47,Players!B:B,Players!A:A)</f>
        <v>12</v>
      </c>
      <c r="C47" t="s">
        <v>46</v>
      </c>
      <c r="D47" s="1" t="s">
        <v>12</v>
      </c>
      <c r="E47" s="1">
        <v>20</v>
      </c>
      <c r="F47" s="1">
        <v>111</v>
      </c>
      <c r="G47" s="1">
        <v>91</v>
      </c>
      <c r="H47" s="1">
        <v>56</v>
      </c>
      <c r="I47" s="1">
        <v>55</v>
      </c>
      <c r="J47" s="1" t="s">
        <v>105</v>
      </c>
      <c r="K47" t="s">
        <v>122</v>
      </c>
      <c r="L47" s="1"/>
    </row>
    <row r="48" spans="1:12" hidden="1" x14ac:dyDescent="0.2">
      <c r="A48" t="s">
        <v>68</v>
      </c>
      <c r="B48">
        <f>_xlfn.XLOOKUP(C48,Players!B:B,Players!A:A)</f>
        <v>15</v>
      </c>
      <c r="C48" t="s">
        <v>11</v>
      </c>
      <c r="D48" s="1" t="s">
        <v>12</v>
      </c>
      <c r="E48" s="1">
        <v>12</v>
      </c>
      <c r="F48" s="1">
        <v>107</v>
      </c>
      <c r="G48" s="1">
        <v>95</v>
      </c>
      <c r="H48" s="1">
        <v>50</v>
      </c>
      <c r="I48" s="1">
        <v>57</v>
      </c>
      <c r="J48" s="1" t="s">
        <v>105</v>
      </c>
      <c r="K48" t="s">
        <v>122</v>
      </c>
      <c r="L48" s="1"/>
    </row>
    <row r="49" spans="1:13" hidden="1" x14ac:dyDescent="0.2">
      <c r="A49" t="s">
        <v>68</v>
      </c>
      <c r="B49">
        <f>_xlfn.XLOOKUP(C49,Players!B:B,Players!A:A)</f>
        <v>5</v>
      </c>
      <c r="C49" t="s">
        <v>43</v>
      </c>
      <c r="D49" s="1" t="s">
        <v>12</v>
      </c>
      <c r="E49" s="1">
        <v>13</v>
      </c>
      <c r="F49" s="1">
        <v>117</v>
      </c>
      <c r="G49" s="1">
        <v>104</v>
      </c>
      <c r="H49" s="1">
        <v>61</v>
      </c>
      <c r="I49" s="1">
        <v>56</v>
      </c>
      <c r="J49" s="1" t="s">
        <v>105</v>
      </c>
      <c r="K49" t="s">
        <v>122</v>
      </c>
      <c r="L49" s="1"/>
    </row>
    <row r="50" spans="1:13" hidden="1" x14ac:dyDescent="0.2">
      <c r="A50" t="s">
        <v>68</v>
      </c>
      <c r="B50">
        <f>_xlfn.XLOOKUP(C50,Players!B:B,Players!A:A)</f>
        <v>28</v>
      </c>
      <c r="C50" t="s">
        <v>35</v>
      </c>
      <c r="D50" s="1" t="s">
        <v>27</v>
      </c>
      <c r="E50" s="1">
        <v>34</v>
      </c>
      <c r="F50" s="1">
        <v>106</v>
      </c>
      <c r="G50" s="1">
        <v>72</v>
      </c>
      <c r="H50" s="1">
        <v>50</v>
      </c>
      <c r="I50" s="1">
        <v>56</v>
      </c>
      <c r="J50" s="1" t="s">
        <v>105</v>
      </c>
      <c r="K50" t="s">
        <v>122</v>
      </c>
      <c r="L50" s="1"/>
    </row>
    <row r="51" spans="1:13" hidden="1" x14ac:dyDescent="0.2">
      <c r="A51" t="s">
        <v>68</v>
      </c>
      <c r="B51">
        <f>_xlfn.XLOOKUP(C51,Players!B:B,Players!A:A)</f>
        <v>26</v>
      </c>
      <c r="C51" t="s">
        <v>19</v>
      </c>
      <c r="D51" s="1" t="s">
        <v>27</v>
      </c>
      <c r="E51" s="1">
        <v>20</v>
      </c>
      <c r="F51" s="1">
        <v>93</v>
      </c>
      <c r="G51" s="1">
        <v>73</v>
      </c>
      <c r="H51" s="1">
        <v>49</v>
      </c>
      <c r="I51" s="1">
        <v>44</v>
      </c>
      <c r="J51" s="1" t="s">
        <v>105</v>
      </c>
      <c r="K51" t="s">
        <v>123</v>
      </c>
      <c r="L51" s="1">
        <v>11</v>
      </c>
    </row>
    <row r="52" spans="1:13" hidden="1" x14ac:dyDescent="0.2">
      <c r="A52" t="s">
        <v>68</v>
      </c>
      <c r="B52">
        <f>_xlfn.XLOOKUP(C52,Players!B:B,Players!A:A)</f>
        <v>9</v>
      </c>
      <c r="C52" t="s">
        <v>37</v>
      </c>
      <c r="D52" s="1" t="s">
        <v>27</v>
      </c>
      <c r="E52" s="1">
        <v>19</v>
      </c>
      <c r="F52" s="1">
        <v>93</v>
      </c>
      <c r="G52" s="1">
        <v>74</v>
      </c>
      <c r="H52" s="1">
        <v>45</v>
      </c>
      <c r="I52" s="1">
        <v>48</v>
      </c>
      <c r="J52" s="1" t="s">
        <v>105</v>
      </c>
      <c r="K52" t="s">
        <v>123</v>
      </c>
      <c r="L52" s="1">
        <v>10</v>
      </c>
    </row>
    <row r="53" spans="1:13" hidden="1" x14ac:dyDescent="0.2">
      <c r="A53" t="s">
        <v>68</v>
      </c>
      <c r="B53">
        <f>_xlfn.XLOOKUP(C53,Players!B:B,Players!A:A)</f>
        <v>18</v>
      </c>
      <c r="C53" t="s">
        <v>33</v>
      </c>
      <c r="D53" s="1" t="s">
        <v>27</v>
      </c>
      <c r="E53" s="1">
        <v>36</v>
      </c>
      <c r="F53" s="1">
        <v>113</v>
      </c>
      <c r="G53" s="1">
        <v>77</v>
      </c>
      <c r="H53" s="1">
        <v>57</v>
      </c>
      <c r="I53" s="1">
        <v>56</v>
      </c>
      <c r="J53" s="1" t="s">
        <v>105</v>
      </c>
      <c r="K53" t="s">
        <v>122</v>
      </c>
      <c r="L53" s="1"/>
    </row>
    <row r="54" spans="1:13" hidden="1" x14ac:dyDescent="0.2">
      <c r="A54" t="s">
        <v>68</v>
      </c>
      <c r="B54">
        <f>_xlfn.XLOOKUP(C54,Players!B:B,Players!A:A)</f>
        <v>19</v>
      </c>
      <c r="C54" t="s">
        <v>34</v>
      </c>
      <c r="D54" s="1" t="s">
        <v>27</v>
      </c>
      <c r="E54" s="1">
        <v>24</v>
      </c>
      <c r="F54" s="1">
        <v>102</v>
      </c>
      <c r="G54" s="1">
        <v>78</v>
      </c>
      <c r="H54" s="1">
        <v>54</v>
      </c>
      <c r="I54" s="1">
        <v>48</v>
      </c>
      <c r="J54" s="1" t="s">
        <v>105</v>
      </c>
      <c r="K54" t="s">
        <v>123</v>
      </c>
      <c r="L54" s="1">
        <v>8</v>
      </c>
    </row>
    <row r="55" spans="1:13" hidden="1" x14ac:dyDescent="0.2">
      <c r="A55" t="s">
        <v>68</v>
      </c>
      <c r="B55">
        <f>_xlfn.XLOOKUP(C55,Players!B:B,Players!A:A)</f>
        <v>10</v>
      </c>
      <c r="C55" t="s">
        <v>28</v>
      </c>
      <c r="D55" s="1" t="s">
        <v>27</v>
      </c>
      <c r="E55" s="1">
        <v>20</v>
      </c>
      <c r="F55" s="1">
        <v>98</v>
      </c>
      <c r="G55" s="1">
        <v>78</v>
      </c>
      <c r="H55" s="1">
        <v>48</v>
      </c>
      <c r="I55" s="1">
        <v>50</v>
      </c>
      <c r="J55" s="1" t="s">
        <v>105</v>
      </c>
      <c r="K55" t="s">
        <v>122</v>
      </c>
      <c r="L55" s="1"/>
    </row>
    <row r="56" spans="1:13" hidden="1" x14ac:dyDescent="0.2">
      <c r="A56" t="s">
        <v>68</v>
      </c>
      <c r="B56">
        <f>_xlfn.XLOOKUP(C56,Players!B:B,Players!A:A)</f>
        <v>1</v>
      </c>
      <c r="C56" t="s">
        <v>30</v>
      </c>
      <c r="D56" s="1" t="s">
        <v>27</v>
      </c>
      <c r="E56" s="1">
        <v>20</v>
      </c>
      <c r="F56" s="1">
        <v>103</v>
      </c>
      <c r="G56" s="1">
        <v>83</v>
      </c>
      <c r="H56" s="1">
        <v>55</v>
      </c>
      <c r="I56" s="1">
        <v>48</v>
      </c>
      <c r="J56" s="1" t="s">
        <v>105</v>
      </c>
      <c r="K56" t="s">
        <v>123</v>
      </c>
      <c r="L56" s="1">
        <v>5.5</v>
      </c>
    </row>
    <row r="57" spans="1:13" hidden="1" x14ac:dyDescent="0.2">
      <c r="A57" t="s">
        <v>68</v>
      </c>
      <c r="B57">
        <f>_xlfn.XLOOKUP(C57,Players!B:B,Players!A:A)</f>
        <v>24</v>
      </c>
      <c r="C57" t="s">
        <v>31</v>
      </c>
      <c r="D57" s="1" t="s">
        <v>27</v>
      </c>
      <c r="E57" s="1">
        <v>24</v>
      </c>
      <c r="F57" s="1">
        <v>107</v>
      </c>
      <c r="G57" s="1">
        <v>83</v>
      </c>
      <c r="H57" s="1">
        <v>55</v>
      </c>
      <c r="I57" s="1">
        <v>52</v>
      </c>
      <c r="J57" s="1" t="s">
        <v>105</v>
      </c>
      <c r="K57" t="s">
        <v>122</v>
      </c>
      <c r="L57" s="1"/>
    </row>
    <row r="58" spans="1:13" hidden="1" x14ac:dyDescent="0.2">
      <c r="A58" t="s">
        <v>68</v>
      </c>
      <c r="B58">
        <f>_xlfn.XLOOKUP(C58,Players!B:B,Players!A:A)</f>
        <v>30</v>
      </c>
      <c r="C58" t="s">
        <v>36</v>
      </c>
      <c r="D58" s="1" t="s">
        <v>27</v>
      </c>
      <c r="E58" s="1">
        <v>33</v>
      </c>
      <c r="F58" s="1">
        <v>121</v>
      </c>
      <c r="G58" s="1">
        <v>88</v>
      </c>
      <c r="H58" s="1">
        <v>63</v>
      </c>
      <c r="I58" s="1">
        <v>58</v>
      </c>
      <c r="J58" s="1" t="s">
        <v>105</v>
      </c>
      <c r="K58" t="s">
        <v>122</v>
      </c>
      <c r="L58" s="1"/>
    </row>
    <row r="59" spans="1:13" hidden="1" x14ac:dyDescent="0.2">
      <c r="A59" t="s">
        <v>68</v>
      </c>
      <c r="B59">
        <f>_xlfn.XLOOKUP(C59,Players!B:B,Players!A:A)</f>
        <v>22</v>
      </c>
      <c r="C59" t="s">
        <v>49</v>
      </c>
      <c r="D59" s="1" t="s">
        <v>27</v>
      </c>
      <c r="E59" s="1">
        <v>22</v>
      </c>
      <c r="F59" s="1">
        <v>115</v>
      </c>
      <c r="G59" s="1">
        <v>93</v>
      </c>
      <c r="H59" s="1">
        <v>57</v>
      </c>
      <c r="I59" s="1">
        <v>58</v>
      </c>
      <c r="J59" s="1" t="s">
        <v>105</v>
      </c>
      <c r="K59" t="s">
        <v>122</v>
      </c>
      <c r="L59" s="1"/>
    </row>
    <row r="60" spans="1:13" hidden="1" x14ac:dyDescent="0.2">
      <c r="A60" t="s">
        <v>68</v>
      </c>
      <c r="B60">
        <f>_xlfn.XLOOKUP(C60,Players!B:B,Players!A:A)</f>
        <v>23</v>
      </c>
      <c r="C60" t="s">
        <v>50</v>
      </c>
      <c r="D60" s="1" t="s">
        <v>27</v>
      </c>
      <c r="E60" s="1">
        <v>22</v>
      </c>
      <c r="F60" s="1">
        <v>121</v>
      </c>
      <c r="G60" s="1">
        <v>99</v>
      </c>
      <c r="H60" s="1">
        <v>61</v>
      </c>
      <c r="I60" s="1">
        <v>60</v>
      </c>
      <c r="J60" s="1" t="s">
        <v>105</v>
      </c>
      <c r="K60" t="s">
        <v>123</v>
      </c>
      <c r="L60" s="1">
        <v>2</v>
      </c>
    </row>
    <row r="61" spans="1:13" hidden="1" x14ac:dyDescent="0.2">
      <c r="A61" t="s">
        <v>68</v>
      </c>
      <c r="B61">
        <f>_xlfn.XLOOKUP(C61,Players!B:B,Players!A:A)</f>
        <v>25</v>
      </c>
      <c r="C61" t="s">
        <v>38</v>
      </c>
      <c r="D61" s="1" t="s">
        <v>27</v>
      </c>
      <c r="E61" s="1">
        <v>36</v>
      </c>
      <c r="F61" s="1">
        <v>140</v>
      </c>
      <c r="G61" s="1">
        <v>104</v>
      </c>
      <c r="H61" s="1">
        <v>65</v>
      </c>
      <c r="I61" s="1">
        <v>75</v>
      </c>
      <c r="J61" s="1" t="s">
        <v>105</v>
      </c>
      <c r="K61" t="s">
        <v>122</v>
      </c>
      <c r="L61" s="1"/>
    </row>
    <row r="62" spans="1:13" hidden="1" x14ac:dyDescent="0.2">
      <c r="A62" t="s">
        <v>71</v>
      </c>
      <c r="B62">
        <f>_xlfn.XLOOKUP(C62,Players!B:B,Players!A:A)</f>
        <v>8</v>
      </c>
      <c r="C62" t="s">
        <v>44</v>
      </c>
      <c r="D62" s="1" t="s">
        <v>12</v>
      </c>
      <c r="E62" s="1">
        <v>20</v>
      </c>
      <c r="F62" s="1">
        <v>92</v>
      </c>
      <c r="G62" s="1">
        <v>72</v>
      </c>
      <c r="H62" s="1">
        <v>46</v>
      </c>
      <c r="I62" s="1">
        <v>46</v>
      </c>
      <c r="J62" s="1" t="s">
        <v>105</v>
      </c>
      <c r="L62" s="1"/>
      <c r="M62" s="1"/>
    </row>
    <row r="63" spans="1:13" hidden="1" x14ac:dyDescent="0.2">
      <c r="A63" t="s">
        <v>71</v>
      </c>
      <c r="B63">
        <f>_xlfn.XLOOKUP(C63,Players!B:B,Players!A:A)</f>
        <v>6</v>
      </c>
      <c r="C63" t="s">
        <v>22</v>
      </c>
      <c r="D63" s="1" t="s">
        <v>12</v>
      </c>
      <c r="E63" s="1">
        <v>21</v>
      </c>
      <c r="F63" s="1">
        <v>93</v>
      </c>
      <c r="G63" s="1">
        <v>72</v>
      </c>
      <c r="H63" s="1">
        <v>46</v>
      </c>
      <c r="I63" s="1">
        <v>47</v>
      </c>
      <c r="J63" s="1" t="s">
        <v>105</v>
      </c>
      <c r="K63" t="s">
        <v>123</v>
      </c>
      <c r="L63" s="1">
        <v>13.5</v>
      </c>
      <c r="M63" s="1"/>
    </row>
    <row r="64" spans="1:13" hidden="1" x14ac:dyDescent="0.2">
      <c r="A64" t="s">
        <v>71</v>
      </c>
      <c r="B64">
        <f>_xlfn.XLOOKUP(C64,Players!B:B,Players!A:A)</f>
        <v>29</v>
      </c>
      <c r="C64" s="21" t="s">
        <v>20</v>
      </c>
      <c r="D64" s="25" t="s">
        <v>12</v>
      </c>
      <c r="E64" s="25">
        <v>20</v>
      </c>
      <c r="F64" s="25">
        <v>94</v>
      </c>
      <c r="G64" s="29">
        <v>74</v>
      </c>
      <c r="H64" s="25">
        <v>47</v>
      </c>
      <c r="I64" s="25">
        <v>47</v>
      </c>
      <c r="J64" s="25" t="s">
        <v>105</v>
      </c>
      <c r="L64" s="25"/>
      <c r="M64" s="1"/>
    </row>
    <row r="65" spans="1:13" hidden="1" x14ac:dyDescent="0.2">
      <c r="A65" t="s">
        <v>71</v>
      </c>
      <c r="B65">
        <f>_xlfn.XLOOKUP(C65,Players!B:B,Players!A:A)</f>
        <v>7</v>
      </c>
      <c r="C65" s="21" t="s">
        <v>16</v>
      </c>
      <c r="D65" s="25" t="s">
        <v>12</v>
      </c>
      <c r="E65" s="25">
        <v>17</v>
      </c>
      <c r="F65" s="25">
        <v>92</v>
      </c>
      <c r="G65" s="29">
        <v>75</v>
      </c>
      <c r="H65" s="25">
        <v>46</v>
      </c>
      <c r="I65" s="25">
        <v>46</v>
      </c>
      <c r="J65" s="25" t="s">
        <v>105</v>
      </c>
      <c r="K65" t="s">
        <v>123</v>
      </c>
      <c r="L65" s="25">
        <v>11</v>
      </c>
      <c r="M65" s="1"/>
    </row>
    <row r="66" spans="1:13" hidden="1" x14ac:dyDescent="0.2">
      <c r="A66" t="s">
        <v>71</v>
      </c>
      <c r="B66">
        <f>_xlfn.XLOOKUP(C66,Players!B:B,Players!A:A)</f>
        <v>32</v>
      </c>
      <c r="C66" s="20" t="s">
        <v>53</v>
      </c>
      <c r="D66" s="24" t="s">
        <v>12</v>
      </c>
      <c r="E66" s="24">
        <v>10</v>
      </c>
      <c r="F66" s="24">
        <v>90</v>
      </c>
      <c r="G66" s="28">
        <v>80</v>
      </c>
      <c r="H66" s="24">
        <v>43</v>
      </c>
      <c r="I66" s="24">
        <v>47</v>
      </c>
      <c r="J66" s="24" t="s">
        <v>105</v>
      </c>
      <c r="K66" t="s">
        <v>123</v>
      </c>
      <c r="L66" s="24">
        <v>8.5</v>
      </c>
      <c r="M66" s="1"/>
    </row>
    <row r="67" spans="1:13" hidden="1" x14ac:dyDescent="0.2">
      <c r="A67" t="s">
        <v>71</v>
      </c>
      <c r="B67">
        <f>_xlfn.XLOOKUP(C67,Players!B:B,Players!A:A)</f>
        <v>20</v>
      </c>
      <c r="C67" s="18" t="s">
        <v>18</v>
      </c>
      <c r="D67" s="22" t="s">
        <v>12</v>
      </c>
      <c r="E67" s="22">
        <v>7</v>
      </c>
      <c r="F67" s="22">
        <v>87</v>
      </c>
      <c r="G67" s="27">
        <v>80</v>
      </c>
      <c r="H67" s="22">
        <v>43</v>
      </c>
      <c r="I67" s="22">
        <v>44</v>
      </c>
      <c r="J67" s="22" t="s">
        <v>105</v>
      </c>
      <c r="L67" s="24"/>
      <c r="M67" s="1"/>
    </row>
    <row r="68" spans="1:13" hidden="1" x14ac:dyDescent="0.2">
      <c r="A68" t="s">
        <v>71</v>
      </c>
      <c r="B68">
        <f>_xlfn.XLOOKUP(C68,Players!B:B,Players!A:A)</f>
        <v>12</v>
      </c>
      <c r="C68" s="20" t="s">
        <v>46</v>
      </c>
      <c r="D68" s="24" t="s">
        <v>12</v>
      </c>
      <c r="E68" s="24">
        <v>20</v>
      </c>
      <c r="F68" s="24">
        <v>100</v>
      </c>
      <c r="G68" s="28">
        <v>80</v>
      </c>
      <c r="H68" s="24">
        <v>50</v>
      </c>
      <c r="I68" s="24">
        <v>50</v>
      </c>
      <c r="J68" s="24" t="s">
        <v>105</v>
      </c>
      <c r="L68" s="24"/>
      <c r="M68" s="1"/>
    </row>
    <row r="69" spans="1:13" hidden="1" x14ac:dyDescent="0.2">
      <c r="A69" t="s">
        <v>71</v>
      </c>
      <c r="B69">
        <f>_xlfn.XLOOKUP(C69,Players!B:B,Players!A:A)</f>
        <v>27</v>
      </c>
      <c r="C69" s="18" t="s">
        <v>51</v>
      </c>
      <c r="D69" s="22" t="s">
        <v>12</v>
      </c>
      <c r="E69" s="22">
        <v>20</v>
      </c>
      <c r="F69" s="22">
        <v>100</v>
      </c>
      <c r="G69" s="27">
        <v>80</v>
      </c>
      <c r="H69" s="22">
        <v>53</v>
      </c>
      <c r="I69" s="22">
        <v>47</v>
      </c>
      <c r="J69" s="22" t="s">
        <v>105</v>
      </c>
      <c r="L69" s="24"/>
      <c r="M69" s="1"/>
    </row>
    <row r="70" spans="1:13" hidden="1" x14ac:dyDescent="0.2">
      <c r="A70" t="s">
        <v>71</v>
      </c>
      <c r="B70">
        <f>_xlfn.XLOOKUP(C70,Players!B:B,Players!A:A)</f>
        <v>15</v>
      </c>
      <c r="C70" s="20" t="s">
        <v>11</v>
      </c>
      <c r="D70" s="24" t="s">
        <v>12</v>
      </c>
      <c r="E70" s="24">
        <v>15</v>
      </c>
      <c r="F70" s="24">
        <v>98</v>
      </c>
      <c r="G70" s="28">
        <v>83</v>
      </c>
      <c r="H70" s="24">
        <v>49</v>
      </c>
      <c r="I70" s="24">
        <v>49</v>
      </c>
      <c r="J70" s="24" t="s">
        <v>105</v>
      </c>
      <c r="L70" s="24"/>
      <c r="M70" s="1"/>
    </row>
    <row r="71" spans="1:13" hidden="1" x14ac:dyDescent="0.2">
      <c r="A71" t="s">
        <v>71</v>
      </c>
      <c r="B71">
        <f>_xlfn.XLOOKUP(C71,Players!B:B,Players!A:A)</f>
        <v>34</v>
      </c>
      <c r="C71" s="18" t="s">
        <v>25</v>
      </c>
      <c r="D71" s="22" t="s">
        <v>12</v>
      </c>
      <c r="E71" s="22">
        <v>12</v>
      </c>
      <c r="F71" s="22">
        <v>95</v>
      </c>
      <c r="G71" s="27">
        <v>83</v>
      </c>
      <c r="H71" s="22">
        <v>50</v>
      </c>
      <c r="I71" s="22">
        <v>45</v>
      </c>
      <c r="J71" s="22" t="s">
        <v>105</v>
      </c>
      <c r="L71" s="24"/>
      <c r="M71" s="1"/>
    </row>
    <row r="72" spans="1:13" hidden="1" x14ac:dyDescent="0.2">
      <c r="A72" t="s">
        <v>71</v>
      </c>
      <c r="B72">
        <f>_xlfn.XLOOKUP(C72,Players!B:B,Players!A:A)</f>
        <v>17</v>
      </c>
      <c r="C72" s="20" t="s">
        <v>17</v>
      </c>
      <c r="D72" s="24" t="s">
        <v>12</v>
      </c>
      <c r="E72" s="24">
        <v>13</v>
      </c>
      <c r="F72" s="24">
        <v>96</v>
      </c>
      <c r="G72" s="28">
        <v>83</v>
      </c>
      <c r="H72" s="24">
        <v>51</v>
      </c>
      <c r="I72" s="24">
        <v>45</v>
      </c>
      <c r="J72" s="24" t="s">
        <v>105</v>
      </c>
      <c r="L72" s="24"/>
      <c r="M72" s="1"/>
    </row>
    <row r="73" spans="1:13" hidden="1" x14ac:dyDescent="0.2">
      <c r="A73" t="s">
        <v>71</v>
      </c>
      <c r="B73">
        <f>_xlfn.XLOOKUP(C73,Players!B:B,Players!A:A)</f>
        <v>3</v>
      </c>
      <c r="C73" s="18" t="s">
        <v>42</v>
      </c>
      <c r="D73" s="22" t="s">
        <v>12</v>
      </c>
      <c r="E73" s="22">
        <v>8</v>
      </c>
      <c r="F73" s="22">
        <v>97</v>
      </c>
      <c r="G73" s="27">
        <v>89</v>
      </c>
      <c r="H73" s="22">
        <v>50</v>
      </c>
      <c r="I73" s="22">
        <v>47</v>
      </c>
      <c r="J73" s="22" t="s">
        <v>105</v>
      </c>
      <c r="K73" t="s">
        <v>123</v>
      </c>
      <c r="L73" s="24">
        <v>3</v>
      </c>
      <c r="M73" s="1"/>
    </row>
    <row r="74" spans="1:13" hidden="1" x14ac:dyDescent="0.2">
      <c r="A74" t="s">
        <v>71</v>
      </c>
      <c r="B74">
        <f>_xlfn.XLOOKUP(C74,Players!B:B,Players!A:A)</f>
        <v>13</v>
      </c>
      <c r="C74" s="20" t="s">
        <v>14</v>
      </c>
      <c r="D74" s="24" t="s">
        <v>12</v>
      </c>
      <c r="E74" s="24">
        <v>21</v>
      </c>
      <c r="F74" s="24">
        <v>118</v>
      </c>
      <c r="G74" s="28">
        <v>97</v>
      </c>
      <c r="H74" s="24">
        <v>64</v>
      </c>
      <c r="I74" s="24">
        <v>54</v>
      </c>
      <c r="J74" s="24" t="s">
        <v>105</v>
      </c>
      <c r="K74" t="s">
        <v>123</v>
      </c>
      <c r="L74" s="24">
        <v>2</v>
      </c>
      <c r="M74" s="1"/>
    </row>
    <row r="75" spans="1:13" hidden="1" x14ac:dyDescent="0.2">
      <c r="A75" t="s">
        <v>71</v>
      </c>
      <c r="B75">
        <f>_xlfn.XLOOKUP(C75,Players!B:B,Players!A:A)</f>
        <v>5</v>
      </c>
      <c r="C75" s="18" t="s">
        <v>43</v>
      </c>
      <c r="D75" s="22" t="s">
        <v>12</v>
      </c>
      <c r="E75" s="22">
        <v>14</v>
      </c>
      <c r="F75" s="22">
        <v>119</v>
      </c>
      <c r="G75" s="27">
        <v>105</v>
      </c>
      <c r="H75" s="22">
        <v>59</v>
      </c>
      <c r="I75" s="22">
        <v>60</v>
      </c>
      <c r="J75" s="22" t="s">
        <v>105</v>
      </c>
      <c r="L75" s="24"/>
    </row>
    <row r="76" spans="1:13" hidden="1" x14ac:dyDescent="0.2">
      <c r="A76" t="s">
        <v>71</v>
      </c>
      <c r="B76">
        <f>_xlfn.XLOOKUP(C76,Players!B:B,Players!A:A)</f>
        <v>24</v>
      </c>
      <c r="C76" s="21" t="s">
        <v>31</v>
      </c>
      <c r="D76" s="25" t="s">
        <v>27</v>
      </c>
      <c r="E76" s="25">
        <v>26</v>
      </c>
      <c r="F76" s="25">
        <v>92</v>
      </c>
      <c r="G76" s="29">
        <v>66</v>
      </c>
      <c r="H76" s="25">
        <v>50</v>
      </c>
      <c r="I76" s="25">
        <v>42</v>
      </c>
      <c r="J76" s="25" t="s">
        <v>105</v>
      </c>
      <c r="L76" s="24"/>
    </row>
    <row r="77" spans="1:13" hidden="1" x14ac:dyDescent="0.2">
      <c r="A77" t="s">
        <v>71</v>
      </c>
      <c r="B77">
        <f>_xlfn.XLOOKUP(C77,Players!B:B,Players!A:A)</f>
        <v>1</v>
      </c>
      <c r="C77" s="18" t="s">
        <v>30</v>
      </c>
      <c r="D77" s="22" t="s">
        <v>27</v>
      </c>
      <c r="E77" s="22">
        <v>22</v>
      </c>
      <c r="F77" s="22">
        <v>90</v>
      </c>
      <c r="G77" s="27">
        <v>68</v>
      </c>
      <c r="H77" s="22">
        <v>44</v>
      </c>
      <c r="I77" s="22">
        <v>46</v>
      </c>
      <c r="J77" s="22" t="s">
        <v>105</v>
      </c>
      <c r="L77" s="24"/>
    </row>
    <row r="78" spans="1:13" hidden="1" x14ac:dyDescent="0.2">
      <c r="A78" t="s">
        <v>71</v>
      </c>
      <c r="B78">
        <f>_xlfn.XLOOKUP(C78,Players!B:B,Players!A:A)</f>
        <v>26</v>
      </c>
      <c r="C78" s="20" t="s">
        <v>19</v>
      </c>
      <c r="D78" s="24" t="s">
        <v>27</v>
      </c>
      <c r="E78" s="24">
        <v>20</v>
      </c>
      <c r="F78" s="24">
        <v>92</v>
      </c>
      <c r="G78" s="28">
        <v>72</v>
      </c>
      <c r="H78" s="24">
        <v>45</v>
      </c>
      <c r="I78" s="24">
        <v>47</v>
      </c>
      <c r="J78" s="24" t="s">
        <v>105</v>
      </c>
      <c r="K78" t="s">
        <v>123</v>
      </c>
      <c r="L78" s="24">
        <v>11.5</v>
      </c>
    </row>
    <row r="79" spans="1:13" hidden="1" x14ac:dyDescent="0.2">
      <c r="A79" t="s">
        <v>71</v>
      </c>
      <c r="B79">
        <f>_xlfn.XLOOKUP(C79,Players!B:B,Players!A:A)</f>
        <v>28</v>
      </c>
      <c r="C79" s="18" t="s">
        <v>35</v>
      </c>
      <c r="D79" s="22" t="s">
        <v>27</v>
      </c>
      <c r="E79" s="22">
        <v>31</v>
      </c>
      <c r="F79" s="22">
        <v>103</v>
      </c>
      <c r="G79" s="27">
        <v>72</v>
      </c>
      <c r="H79" s="22">
        <v>53</v>
      </c>
      <c r="I79" s="22">
        <v>50</v>
      </c>
      <c r="J79" s="22" t="s">
        <v>105</v>
      </c>
      <c r="L79" s="24"/>
    </row>
    <row r="80" spans="1:13" hidden="1" x14ac:dyDescent="0.2">
      <c r="A80" t="s">
        <v>71</v>
      </c>
      <c r="B80">
        <f>_xlfn.XLOOKUP(C80,Players!B:B,Players!A:A)</f>
        <v>35</v>
      </c>
      <c r="C80" s="20" t="s">
        <v>15</v>
      </c>
      <c r="D80" s="24" t="s">
        <v>27</v>
      </c>
      <c r="E80" s="24">
        <v>19</v>
      </c>
      <c r="F80" s="24">
        <v>96</v>
      </c>
      <c r="G80" s="28">
        <v>77</v>
      </c>
      <c r="H80" s="24">
        <v>49</v>
      </c>
      <c r="I80" s="24">
        <v>47</v>
      </c>
      <c r="J80" s="24" t="s">
        <v>105</v>
      </c>
      <c r="K80" t="s">
        <v>123</v>
      </c>
      <c r="L80" s="24">
        <v>10</v>
      </c>
    </row>
    <row r="81" spans="1:12" hidden="1" x14ac:dyDescent="0.2">
      <c r="A81" t="s">
        <v>71</v>
      </c>
      <c r="B81">
        <f>_xlfn.XLOOKUP(C81,Players!B:B,Players!A:A)</f>
        <v>33</v>
      </c>
      <c r="C81" s="18" t="s">
        <v>54</v>
      </c>
      <c r="D81" s="22" t="s">
        <v>27</v>
      </c>
      <c r="E81" s="22">
        <v>21</v>
      </c>
      <c r="F81" s="22">
        <v>99</v>
      </c>
      <c r="G81" s="27">
        <v>78</v>
      </c>
      <c r="H81" s="22">
        <v>51</v>
      </c>
      <c r="I81" s="22">
        <v>48</v>
      </c>
      <c r="J81" s="22" t="s">
        <v>105</v>
      </c>
      <c r="L81" s="24"/>
    </row>
    <row r="82" spans="1:12" hidden="1" x14ac:dyDescent="0.2">
      <c r="A82" t="s">
        <v>71</v>
      </c>
      <c r="B82">
        <f>_xlfn.XLOOKUP(C82,Players!B:B,Players!A:A)</f>
        <v>19</v>
      </c>
      <c r="C82" s="20" t="s">
        <v>34</v>
      </c>
      <c r="D82" s="24" t="s">
        <v>27</v>
      </c>
      <c r="E82" s="24">
        <v>24</v>
      </c>
      <c r="F82" s="24">
        <v>102</v>
      </c>
      <c r="G82" s="28">
        <v>78</v>
      </c>
      <c r="H82" s="24">
        <v>52</v>
      </c>
      <c r="I82" s="24">
        <v>50</v>
      </c>
      <c r="J82" s="24" t="s">
        <v>105</v>
      </c>
      <c r="L82" s="24"/>
    </row>
    <row r="83" spans="1:12" hidden="1" x14ac:dyDescent="0.2">
      <c r="A83" t="s">
        <v>71</v>
      </c>
      <c r="B83">
        <f>_xlfn.XLOOKUP(C83,Players!B:B,Players!A:A)</f>
        <v>39</v>
      </c>
      <c r="C83" s="18" t="s">
        <v>56</v>
      </c>
      <c r="D83" s="22" t="s">
        <v>27</v>
      </c>
      <c r="E83" s="22">
        <v>29</v>
      </c>
      <c r="F83" s="22">
        <v>107</v>
      </c>
      <c r="G83" s="27">
        <v>78</v>
      </c>
      <c r="H83" s="22">
        <v>54</v>
      </c>
      <c r="I83" s="22">
        <v>53</v>
      </c>
      <c r="J83" s="22" t="s">
        <v>105</v>
      </c>
      <c r="L83" s="24"/>
    </row>
    <row r="84" spans="1:12" hidden="1" x14ac:dyDescent="0.2">
      <c r="A84" t="s">
        <v>71</v>
      </c>
      <c r="B84">
        <f>_xlfn.XLOOKUP(C84,Players!B:B,Players!A:A)</f>
        <v>10</v>
      </c>
      <c r="C84" s="20" t="s">
        <v>28</v>
      </c>
      <c r="D84" s="24" t="s">
        <v>27</v>
      </c>
      <c r="E84" s="24">
        <v>20</v>
      </c>
      <c r="F84" s="24">
        <v>101</v>
      </c>
      <c r="G84" s="28">
        <v>81</v>
      </c>
      <c r="H84" s="24">
        <v>48</v>
      </c>
      <c r="I84" s="24">
        <v>53</v>
      </c>
      <c r="J84" s="24" t="s">
        <v>105</v>
      </c>
      <c r="K84" t="s">
        <v>123</v>
      </c>
      <c r="L84" s="24">
        <v>6.5</v>
      </c>
    </row>
    <row r="85" spans="1:12" hidden="1" x14ac:dyDescent="0.2">
      <c r="A85" t="s">
        <v>71</v>
      </c>
      <c r="B85">
        <f>_xlfn.XLOOKUP(C85,Players!B:B,Players!A:A)</f>
        <v>30</v>
      </c>
      <c r="C85" s="18" t="s">
        <v>36</v>
      </c>
      <c r="D85" s="22" t="s">
        <v>27</v>
      </c>
      <c r="E85" s="22">
        <v>32</v>
      </c>
      <c r="F85" s="22">
        <v>113</v>
      </c>
      <c r="G85" s="27">
        <v>81</v>
      </c>
      <c r="H85" s="22">
        <v>58</v>
      </c>
      <c r="I85" s="22">
        <v>55</v>
      </c>
      <c r="J85" s="22" t="s">
        <v>105</v>
      </c>
      <c r="L85" s="24"/>
    </row>
    <row r="86" spans="1:12" hidden="1" x14ac:dyDescent="0.2">
      <c r="A86" t="s">
        <v>71</v>
      </c>
      <c r="B86">
        <f>_xlfn.XLOOKUP(C86,Players!B:B,Players!A:A)</f>
        <v>9</v>
      </c>
      <c r="C86" s="20" t="s">
        <v>37</v>
      </c>
      <c r="D86" s="24" t="s">
        <v>27</v>
      </c>
      <c r="E86" s="24">
        <v>19</v>
      </c>
      <c r="F86" s="24">
        <v>100</v>
      </c>
      <c r="G86" s="28">
        <v>81</v>
      </c>
      <c r="H86" s="24">
        <v>52</v>
      </c>
      <c r="I86" s="24">
        <v>48</v>
      </c>
      <c r="J86" s="24" t="s">
        <v>105</v>
      </c>
    </row>
    <row r="87" spans="1:12" hidden="1" x14ac:dyDescent="0.2">
      <c r="A87" t="s">
        <v>71</v>
      </c>
      <c r="B87">
        <f>_xlfn.XLOOKUP(C87,Players!B:B,Players!A:A)</f>
        <v>2</v>
      </c>
      <c r="C87" s="18" t="s">
        <v>41</v>
      </c>
      <c r="D87" s="22" t="s">
        <v>27</v>
      </c>
      <c r="E87" s="22">
        <v>36</v>
      </c>
      <c r="F87" s="22">
        <v>122</v>
      </c>
      <c r="G87" s="27">
        <v>86</v>
      </c>
      <c r="H87" s="22">
        <v>63</v>
      </c>
      <c r="I87" s="22">
        <v>59</v>
      </c>
      <c r="J87" s="22" t="s">
        <v>105</v>
      </c>
    </row>
    <row r="88" spans="1:12" hidden="1" x14ac:dyDescent="0.2">
      <c r="A88" t="s">
        <v>71</v>
      </c>
      <c r="B88">
        <f>_xlfn.XLOOKUP(C88,Players!B:B,Players!A:A)</f>
        <v>22</v>
      </c>
      <c r="C88" s="20" t="s">
        <v>49</v>
      </c>
      <c r="D88" s="24" t="s">
        <v>27</v>
      </c>
      <c r="E88" s="24">
        <v>29</v>
      </c>
      <c r="F88" s="24">
        <v>115</v>
      </c>
      <c r="G88" s="28">
        <v>86</v>
      </c>
      <c r="H88" s="24">
        <v>58</v>
      </c>
      <c r="I88" s="24">
        <v>57</v>
      </c>
      <c r="J88" s="24" t="s">
        <v>105</v>
      </c>
    </row>
    <row r="89" spans="1:12" hidden="1" x14ac:dyDescent="0.2">
      <c r="A89" t="s">
        <v>71</v>
      </c>
      <c r="B89">
        <f>_xlfn.XLOOKUP(C89,Players!B:B,Players!A:A)</f>
        <v>25</v>
      </c>
      <c r="C89" s="18" t="s">
        <v>38</v>
      </c>
      <c r="D89" s="22" t="s">
        <v>27</v>
      </c>
      <c r="E89" s="22">
        <v>36</v>
      </c>
      <c r="F89" s="22">
        <v>130</v>
      </c>
      <c r="G89" s="27">
        <v>94</v>
      </c>
      <c r="H89" s="22">
        <v>69</v>
      </c>
      <c r="I89" s="22">
        <v>61</v>
      </c>
      <c r="J89" s="22" t="s">
        <v>105</v>
      </c>
    </row>
    <row r="90" spans="1:12" hidden="1" x14ac:dyDescent="0.2">
      <c r="A90" t="s">
        <v>74</v>
      </c>
      <c r="B90">
        <f>_xlfn.XLOOKUP(C90,Players!B:B,Players!A:A)</f>
        <v>29</v>
      </c>
      <c r="C90" t="s">
        <v>20</v>
      </c>
      <c r="D90" s="1" t="s">
        <v>12</v>
      </c>
      <c r="E90" s="1">
        <v>17</v>
      </c>
      <c r="F90" s="1">
        <v>84</v>
      </c>
      <c r="G90" s="1">
        <v>67</v>
      </c>
      <c r="H90" s="1">
        <v>41</v>
      </c>
      <c r="I90" s="1">
        <v>43</v>
      </c>
      <c r="J90" s="1">
        <v>32</v>
      </c>
      <c r="K90" t="s">
        <v>123</v>
      </c>
      <c r="L90" s="1">
        <v>18</v>
      </c>
    </row>
    <row r="91" spans="1:12" hidden="1" x14ac:dyDescent="0.2">
      <c r="A91" t="s">
        <v>74</v>
      </c>
      <c r="B91">
        <f>_xlfn.XLOOKUP(C91,Players!B:B,Players!A:A)</f>
        <v>40</v>
      </c>
      <c r="C91" t="s">
        <v>81</v>
      </c>
      <c r="D91" s="1" t="s">
        <v>12</v>
      </c>
      <c r="E91" s="1">
        <v>8</v>
      </c>
      <c r="F91" s="1">
        <v>76</v>
      </c>
      <c r="G91" s="1">
        <v>68</v>
      </c>
      <c r="H91" s="1">
        <v>37</v>
      </c>
      <c r="I91" s="1">
        <v>39</v>
      </c>
      <c r="J91" s="1">
        <v>35</v>
      </c>
      <c r="L91" s="1"/>
    </row>
    <row r="92" spans="1:12" hidden="1" x14ac:dyDescent="0.2">
      <c r="A92" t="s">
        <v>74</v>
      </c>
      <c r="B92">
        <f>_xlfn.XLOOKUP(C92,Players!B:B,Players!A:A)</f>
        <v>7</v>
      </c>
      <c r="C92" t="s">
        <v>16</v>
      </c>
      <c r="D92" s="1" t="s">
        <v>12</v>
      </c>
      <c r="E92" s="1">
        <v>15</v>
      </c>
      <c r="F92" s="1">
        <v>86</v>
      </c>
      <c r="G92" s="1">
        <v>71</v>
      </c>
      <c r="H92" s="1">
        <v>45</v>
      </c>
      <c r="I92" s="1">
        <v>41</v>
      </c>
      <c r="J92" s="1">
        <v>40</v>
      </c>
      <c r="L92" s="1"/>
    </row>
    <row r="93" spans="1:12" hidden="1" x14ac:dyDescent="0.2">
      <c r="A93" t="s">
        <v>74</v>
      </c>
      <c r="B93">
        <f>_xlfn.XLOOKUP(C93,Players!B:B,Players!A:A)</f>
        <v>15</v>
      </c>
      <c r="C93" t="s">
        <v>11</v>
      </c>
      <c r="D93" s="1" t="s">
        <v>12</v>
      </c>
      <c r="E93" s="1">
        <v>16</v>
      </c>
      <c r="F93" s="1">
        <v>87</v>
      </c>
      <c r="G93" s="1">
        <v>71</v>
      </c>
      <c r="H93" s="1">
        <v>45</v>
      </c>
      <c r="I93" s="1">
        <v>42</v>
      </c>
      <c r="J93" s="1">
        <v>35</v>
      </c>
      <c r="K93" t="s">
        <v>123</v>
      </c>
      <c r="L93" s="1">
        <v>15</v>
      </c>
    </row>
    <row r="94" spans="1:12" hidden="1" x14ac:dyDescent="0.2">
      <c r="A94" t="s">
        <v>74</v>
      </c>
      <c r="B94">
        <f>_xlfn.XLOOKUP(C94,Players!B:B,Players!A:A)</f>
        <v>20</v>
      </c>
      <c r="C94" t="s">
        <v>18</v>
      </c>
      <c r="D94" s="1" t="s">
        <v>12</v>
      </c>
      <c r="E94" s="1">
        <v>8</v>
      </c>
      <c r="F94" s="1">
        <v>79</v>
      </c>
      <c r="G94" s="1">
        <v>71</v>
      </c>
      <c r="H94" s="1">
        <v>38</v>
      </c>
      <c r="I94" s="1">
        <v>41</v>
      </c>
      <c r="J94" s="1">
        <v>31</v>
      </c>
      <c r="L94" s="1"/>
    </row>
    <row r="95" spans="1:12" hidden="1" x14ac:dyDescent="0.2">
      <c r="A95" t="s">
        <v>74</v>
      </c>
      <c r="B95">
        <f>_xlfn.XLOOKUP(C95,Players!B:B,Players!A:A)</f>
        <v>26</v>
      </c>
      <c r="C95" t="s">
        <v>19</v>
      </c>
      <c r="D95" s="1" t="s">
        <v>12</v>
      </c>
      <c r="E95" s="1">
        <v>21</v>
      </c>
      <c r="F95" s="1">
        <v>93</v>
      </c>
      <c r="G95" s="1">
        <v>72</v>
      </c>
      <c r="H95" s="1">
        <v>47</v>
      </c>
      <c r="I95" s="1">
        <v>46</v>
      </c>
      <c r="J95" s="1">
        <v>38</v>
      </c>
      <c r="L95" s="1"/>
    </row>
    <row r="96" spans="1:12" hidden="1" x14ac:dyDescent="0.2">
      <c r="A96" t="s">
        <v>74</v>
      </c>
      <c r="B96">
        <f>_xlfn.XLOOKUP(C96,Players!B:B,Players!A:A)</f>
        <v>34</v>
      </c>
      <c r="C96" t="s">
        <v>25</v>
      </c>
      <c r="D96" s="1" t="s">
        <v>12</v>
      </c>
      <c r="E96" s="1">
        <v>13</v>
      </c>
      <c r="F96" s="1">
        <v>86</v>
      </c>
      <c r="G96" s="1">
        <v>73</v>
      </c>
      <c r="H96" s="1">
        <v>48</v>
      </c>
      <c r="I96" s="1">
        <v>38</v>
      </c>
      <c r="J96" s="1">
        <v>33</v>
      </c>
      <c r="L96" s="1"/>
    </row>
    <row r="97" spans="1:12" hidden="1" x14ac:dyDescent="0.2">
      <c r="A97" t="s">
        <v>74</v>
      </c>
      <c r="B97">
        <f>_xlfn.XLOOKUP(C97,Players!B:B,Players!A:A)</f>
        <v>37</v>
      </c>
      <c r="C97" t="s">
        <v>55</v>
      </c>
      <c r="D97" s="1" t="s">
        <v>12</v>
      </c>
      <c r="E97" s="1">
        <v>8</v>
      </c>
      <c r="F97" s="1">
        <v>83</v>
      </c>
      <c r="G97" s="1">
        <v>75</v>
      </c>
      <c r="H97" s="1">
        <v>40</v>
      </c>
      <c r="I97" s="1">
        <v>43</v>
      </c>
      <c r="J97" s="1">
        <v>32</v>
      </c>
      <c r="K97" t="s">
        <v>123</v>
      </c>
      <c r="L97" s="1">
        <v>11</v>
      </c>
    </row>
    <row r="98" spans="1:12" hidden="1" x14ac:dyDescent="0.2">
      <c r="A98" t="s">
        <v>74</v>
      </c>
      <c r="B98">
        <f>_xlfn.XLOOKUP(C98,Players!B:B,Players!A:A)</f>
        <v>36</v>
      </c>
      <c r="C98" t="s">
        <v>21</v>
      </c>
      <c r="D98" s="1" t="s">
        <v>12</v>
      </c>
      <c r="E98" s="1">
        <v>9</v>
      </c>
      <c r="F98" s="1">
        <v>85</v>
      </c>
      <c r="G98" s="1">
        <v>76</v>
      </c>
      <c r="H98" s="1">
        <v>42</v>
      </c>
      <c r="I98" s="1">
        <v>43</v>
      </c>
      <c r="J98" s="1">
        <v>34</v>
      </c>
      <c r="L98" s="1"/>
    </row>
    <row r="99" spans="1:12" hidden="1" x14ac:dyDescent="0.2">
      <c r="A99" t="s">
        <v>74</v>
      </c>
      <c r="B99">
        <f>_xlfn.XLOOKUP(C99,Players!B:B,Players!A:A)</f>
        <v>17</v>
      </c>
      <c r="C99" t="s">
        <v>17</v>
      </c>
      <c r="D99" s="1" t="s">
        <v>12</v>
      </c>
      <c r="E99" s="1">
        <v>15</v>
      </c>
      <c r="F99" s="1">
        <v>93</v>
      </c>
      <c r="G99" s="1">
        <v>78</v>
      </c>
      <c r="H99" s="1">
        <v>42</v>
      </c>
      <c r="I99" s="1">
        <v>51</v>
      </c>
      <c r="J99" s="1">
        <v>35</v>
      </c>
      <c r="K99" t="s">
        <v>123</v>
      </c>
      <c r="L99" s="1">
        <v>9</v>
      </c>
    </row>
    <row r="100" spans="1:12" hidden="1" x14ac:dyDescent="0.2">
      <c r="A100" t="s">
        <v>74</v>
      </c>
      <c r="B100">
        <f>_xlfn.XLOOKUP(C100,Players!B:B,Players!A:A)</f>
        <v>8</v>
      </c>
      <c r="C100" s="7" t="s">
        <v>44</v>
      </c>
      <c r="D100" s="8" t="s">
        <v>12</v>
      </c>
      <c r="E100" s="8">
        <v>17</v>
      </c>
      <c r="F100" s="8">
        <v>96</v>
      </c>
      <c r="G100" s="8">
        <v>79</v>
      </c>
      <c r="H100" s="8">
        <v>50</v>
      </c>
      <c r="I100" s="8">
        <v>46</v>
      </c>
      <c r="J100" s="8">
        <v>33</v>
      </c>
      <c r="K100" t="s">
        <v>123</v>
      </c>
      <c r="L100" s="1">
        <v>8</v>
      </c>
    </row>
    <row r="101" spans="1:12" hidden="1" x14ac:dyDescent="0.2">
      <c r="A101" t="s">
        <v>74</v>
      </c>
      <c r="B101">
        <f>_xlfn.XLOOKUP(C101,Players!B:B,Players!A:A)</f>
        <v>41</v>
      </c>
      <c r="C101" t="s">
        <v>13</v>
      </c>
      <c r="D101" s="1" t="s">
        <v>12</v>
      </c>
      <c r="E101" s="1">
        <v>15</v>
      </c>
      <c r="F101" s="1">
        <v>94</v>
      </c>
      <c r="G101" s="1">
        <v>79</v>
      </c>
      <c r="H101" s="1">
        <v>46</v>
      </c>
      <c r="I101" s="1">
        <v>48</v>
      </c>
      <c r="J101" s="1">
        <v>35</v>
      </c>
      <c r="L101" s="1"/>
    </row>
    <row r="102" spans="1:12" hidden="1" x14ac:dyDescent="0.2">
      <c r="A102" t="s">
        <v>74</v>
      </c>
      <c r="B102">
        <f>_xlfn.XLOOKUP(C102,Players!B:B,Players!A:A)</f>
        <v>3</v>
      </c>
      <c r="C102" t="s">
        <v>42</v>
      </c>
      <c r="D102" s="1" t="s">
        <v>12</v>
      </c>
      <c r="E102" s="1">
        <v>9</v>
      </c>
      <c r="F102" s="1">
        <v>89</v>
      </c>
      <c r="G102" s="1">
        <v>80</v>
      </c>
      <c r="H102" s="1">
        <v>46</v>
      </c>
      <c r="I102" s="1">
        <v>43</v>
      </c>
      <c r="J102" s="1">
        <v>29</v>
      </c>
      <c r="L102" s="1"/>
    </row>
    <row r="103" spans="1:12" hidden="1" x14ac:dyDescent="0.2">
      <c r="A103" t="s">
        <v>74</v>
      </c>
      <c r="B103">
        <f>_xlfn.XLOOKUP(C103,Players!B:B,Players!A:A)</f>
        <v>16</v>
      </c>
      <c r="C103" t="s">
        <v>47</v>
      </c>
      <c r="D103" s="1" t="s">
        <v>12</v>
      </c>
      <c r="E103" s="1">
        <v>18</v>
      </c>
      <c r="F103" s="1">
        <v>98</v>
      </c>
      <c r="G103" s="1">
        <v>80</v>
      </c>
      <c r="H103" s="1">
        <v>49</v>
      </c>
      <c r="I103" s="1">
        <v>49</v>
      </c>
      <c r="J103" s="1">
        <v>39</v>
      </c>
      <c r="L103" s="1"/>
    </row>
    <row r="104" spans="1:12" hidden="1" x14ac:dyDescent="0.2">
      <c r="A104" t="s">
        <v>74</v>
      </c>
      <c r="B104">
        <f>_xlfn.XLOOKUP(C104,Players!B:B,Players!A:A)</f>
        <v>12</v>
      </c>
      <c r="C104" s="7" t="s">
        <v>46</v>
      </c>
      <c r="D104" s="8" t="s">
        <v>12</v>
      </c>
      <c r="E104" s="8">
        <v>20</v>
      </c>
      <c r="F104" s="8">
        <v>101</v>
      </c>
      <c r="G104" s="8">
        <v>81</v>
      </c>
      <c r="H104" s="8">
        <v>53</v>
      </c>
      <c r="I104" s="8">
        <v>48</v>
      </c>
      <c r="J104" s="8">
        <v>35</v>
      </c>
      <c r="L104" s="1"/>
    </row>
    <row r="105" spans="1:12" hidden="1" x14ac:dyDescent="0.2">
      <c r="A105" t="s">
        <v>74</v>
      </c>
      <c r="B105">
        <f>_xlfn.XLOOKUP(C105,Players!B:B,Players!A:A)</f>
        <v>35</v>
      </c>
      <c r="C105" t="s">
        <v>15</v>
      </c>
      <c r="D105" s="1" t="s">
        <v>12</v>
      </c>
      <c r="E105" s="1">
        <v>21</v>
      </c>
      <c r="F105" s="1">
        <v>103</v>
      </c>
      <c r="G105" s="1">
        <v>82</v>
      </c>
      <c r="H105" s="1">
        <v>52</v>
      </c>
      <c r="I105" s="1">
        <v>51</v>
      </c>
      <c r="J105" s="1">
        <v>34</v>
      </c>
      <c r="L105" s="1"/>
    </row>
    <row r="106" spans="1:12" hidden="1" x14ac:dyDescent="0.2">
      <c r="A106" t="s">
        <v>74</v>
      </c>
      <c r="B106">
        <f>_xlfn.XLOOKUP(C106,Players!B:B,Players!A:A)</f>
        <v>31</v>
      </c>
      <c r="C106" t="s">
        <v>52</v>
      </c>
      <c r="D106" s="1" t="s">
        <v>12</v>
      </c>
      <c r="E106" s="1">
        <v>17</v>
      </c>
      <c r="F106" s="1">
        <v>104</v>
      </c>
      <c r="G106" s="1">
        <v>87</v>
      </c>
      <c r="H106" s="1">
        <v>50</v>
      </c>
      <c r="I106" s="1">
        <v>54</v>
      </c>
      <c r="J106" s="1">
        <v>38</v>
      </c>
      <c r="L106" s="1"/>
    </row>
    <row r="107" spans="1:12" hidden="1" x14ac:dyDescent="0.2">
      <c r="A107" t="s">
        <v>74</v>
      </c>
      <c r="B107">
        <f>_xlfn.XLOOKUP(C107,Players!B:B,Players!A:A)</f>
        <v>42</v>
      </c>
      <c r="C107" s="7" t="s">
        <v>82</v>
      </c>
      <c r="D107" s="8" t="s">
        <v>12</v>
      </c>
      <c r="E107" s="8">
        <v>11</v>
      </c>
      <c r="F107" s="8">
        <v>100</v>
      </c>
      <c r="G107" s="8">
        <v>89</v>
      </c>
      <c r="H107" s="8">
        <v>43</v>
      </c>
      <c r="I107" s="8">
        <v>57</v>
      </c>
      <c r="J107" s="8">
        <v>34</v>
      </c>
      <c r="L107" s="1"/>
    </row>
    <row r="108" spans="1:12" hidden="1" x14ac:dyDescent="0.2">
      <c r="A108" t="s">
        <v>74</v>
      </c>
      <c r="B108">
        <f>_xlfn.XLOOKUP(C108,Players!B:B,Players!A:A)</f>
        <v>10</v>
      </c>
      <c r="C108" t="s">
        <v>28</v>
      </c>
      <c r="D108" s="1" t="s">
        <v>27</v>
      </c>
      <c r="E108" s="1">
        <v>20</v>
      </c>
      <c r="F108" s="1">
        <v>88</v>
      </c>
      <c r="G108" s="1">
        <v>68</v>
      </c>
      <c r="H108" s="1">
        <v>47</v>
      </c>
      <c r="I108" s="1">
        <v>41</v>
      </c>
      <c r="J108" s="1">
        <v>32</v>
      </c>
      <c r="L108" s="1"/>
    </row>
    <row r="109" spans="1:12" hidden="1" x14ac:dyDescent="0.2">
      <c r="A109" t="s">
        <v>74</v>
      </c>
      <c r="B109">
        <f>_xlfn.XLOOKUP(C109,Players!B:B,Players!A:A)</f>
        <v>19</v>
      </c>
      <c r="C109" t="s">
        <v>34</v>
      </c>
      <c r="D109" s="1" t="s">
        <v>27</v>
      </c>
      <c r="E109" s="1">
        <v>24</v>
      </c>
      <c r="F109" s="1">
        <v>92</v>
      </c>
      <c r="G109" s="1">
        <v>68</v>
      </c>
      <c r="H109" s="1">
        <v>44</v>
      </c>
      <c r="I109" s="1">
        <v>48</v>
      </c>
      <c r="J109" s="1">
        <v>37</v>
      </c>
      <c r="K109" t="s">
        <v>123</v>
      </c>
      <c r="L109" s="1">
        <v>16.5</v>
      </c>
    </row>
    <row r="110" spans="1:12" hidden="1" x14ac:dyDescent="0.2">
      <c r="A110" t="s">
        <v>74</v>
      </c>
      <c r="B110">
        <f>_xlfn.XLOOKUP(C110,Players!B:B,Players!A:A)</f>
        <v>18</v>
      </c>
      <c r="C110" t="s">
        <v>33</v>
      </c>
      <c r="D110" s="1" t="s">
        <v>27</v>
      </c>
      <c r="E110" s="1">
        <v>36</v>
      </c>
      <c r="F110" s="1">
        <v>106</v>
      </c>
      <c r="G110" s="1">
        <v>70</v>
      </c>
      <c r="H110" s="1">
        <v>55</v>
      </c>
      <c r="I110" s="1">
        <v>51</v>
      </c>
      <c r="J110" s="1">
        <v>39</v>
      </c>
      <c r="L110" s="1"/>
    </row>
    <row r="111" spans="1:12" hidden="1" x14ac:dyDescent="0.2">
      <c r="A111" t="s">
        <v>74</v>
      </c>
      <c r="B111">
        <f>_xlfn.XLOOKUP(C111,Players!B:B,Players!A:A)</f>
        <v>30</v>
      </c>
      <c r="C111" t="s">
        <v>36</v>
      </c>
      <c r="D111" s="1" t="s">
        <v>27</v>
      </c>
      <c r="E111" s="1">
        <v>30</v>
      </c>
      <c r="F111" s="1">
        <v>101</v>
      </c>
      <c r="G111" s="1">
        <v>71</v>
      </c>
      <c r="H111" s="1">
        <v>53</v>
      </c>
      <c r="I111" s="1">
        <v>48</v>
      </c>
      <c r="J111" s="1">
        <v>34</v>
      </c>
      <c r="L111" s="1"/>
    </row>
    <row r="112" spans="1:12" hidden="1" x14ac:dyDescent="0.2">
      <c r="A112" t="s">
        <v>74</v>
      </c>
      <c r="B112">
        <f>_xlfn.XLOOKUP(C112,Players!B:B,Players!A:A)</f>
        <v>1</v>
      </c>
      <c r="C112" t="s">
        <v>30</v>
      </c>
      <c r="D112" s="1" t="s">
        <v>27</v>
      </c>
      <c r="E112" s="1">
        <v>22</v>
      </c>
      <c r="F112" s="1">
        <v>94</v>
      </c>
      <c r="G112" s="1">
        <v>72</v>
      </c>
      <c r="H112" s="1">
        <v>44</v>
      </c>
      <c r="I112" s="1">
        <v>50</v>
      </c>
      <c r="J112" s="1">
        <v>35</v>
      </c>
      <c r="L112" s="1"/>
    </row>
    <row r="113" spans="1:12" hidden="1" x14ac:dyDescent="0.2">
      <c r="A113" t="s">
        <v>74</v>
      </c>
      <c r="B113">
        <f>_xlfn.XLOOKUP(C113,Players!B:B,Players!A:A)</f>
        <v>2</v>
      </c>
      <c r="C113" t="s">
        <v>41</v>
      </c>
      <c r="D113" s="1" t="s">
        <v>27</v>
      </c>
      <c r="E113" s="1">
        <v>36</v>
      </c>
      <c r="F113" s="1">
        <v>109</v>
      </c>
      <c r="G113" s="1">
        <v>73</v>
      </c>
      <c r="H113" s="1">
        <v>52</v>
      </c>
      <c r="I113" s="1">
        <v>57</v>
      </c>
      <c r="J113" s="1">
        <v>31</v>
      </c>
      <c r="L113" s="1"/>
    </row>
    <row r="114" spans="1:12" hidden="1" x14ac:dyDescent="0.2">
      <c r="A114" t="s">
        <v>74</v>
      </c>
      <c r="B114">
        <f>_xlfn.XLOOKUP(C114,Players!B:B,Players!A:A)</f>
        <v>27</v>
      </c>
      <c r="C114" t="s">
        <v>51</v>
      </c>
      <c r="D114" s="1" t="s">
        <v>27</v>
      </c>
      <c r="E114" s="1">
        <v>19</v>
      </c>
      <c r="F114" s="1">
        <v>92</v>
      </c>
      <c r="G114" s="1">
        <v>73</v>
      </c>
      <c r="H114" s="1">
        <v>45</v>
      </c>
      <c r="I114" s="1">
        <v>47</v>
      </c>
      <c r="J114" s="1">
        <v>33</v>
      </c>
      <c r="L114" s="1"/>
    </row>
    <row r="115" spans="1:12" hidden="1" x14ac:dyDescent="0.2">
      <c r="A115" t="s">
        <v>74</v>
      </c>
      <c r="B115">
        <f>_xlfn.XLOOKUP(C115,Players!B:B,Players!A:A)</f>
        <v>6</v>
      </c>
      <c r="C115" t="s">
        <v>22</v>
      </c>
      <c r="D115" s="1" t="s">
        <v>27</v>
      </c>
      <c r="E115" s="1">
        <v>16</v>
      </c>
      <c r="F115" s="1">
        <v>91</v>
      </c>
      <c r="G115" s="1">
        <v>75</v>
      </c>
      <c r="H115" s="1">
        <v>44</v>
      </c>
      <c r="I115" s="1">
        <v>47</v>
      </c>
      <c r="J115" s="1">
        <v>31</v>
      </c>
      <c r="L115" s="1"/>
    </row>
    <row r="116" spans="1:12" hidden="1" x14ac:dyDescent="0.2">
      <c r="A116" t="s">
        <v>74</v>
      </c>
      <c r="B116">
        <f>_xlfn.XLOOKUP(C116,Players!B:B,Players!A:A)</f>
        <v>33</v>
      </c>
      <c r="C116" t="s">
        <v>54</v>
      </c>
      <c r="D116" s="1" t="s">
        <v>27</v>
      </c>
      <c r="E116" s="1">
        <v>22</v>
      </c>
      <c r="F116" s="1">
        <v>98</v>
      </c>
      <c r="G116" s="1">
        <v>76</v>
      </c>
      <c r="H116" s="1">
        <v>49</v>
      </c>
      <c r="I116" s="1">
        <v>49</v>
      </c>
      <c r="J116" s="1">
        <v>33</v>
      </c>
      <c r="L116" s="1"/>
    </row>
    <row r="117" spans="1:12" hidden="1" x14ac:dyDescent="0.2">
      <c r="A117" t="s">
        <v>74</v>
      </c>
      <c r="B117">
        <f>_xlfn.XLOOKUP(C117,Players!B:B,Players!A:A)</f>
        <v>24</v>
      </c>
      <c r="C117" t="s">
        <v>31</v>
      </c>
      <c r="D117" s="1" t="s">
        <v>27</v>
      </c>
      <c r="E117" s="1">
        <v>22</v>
      </c>
      <c r="F117" s="1">
        <v>100</v>
      </c>
      <c r="G117" s="1">
        <v>78</v>
      </c>
      <c r="H117" s="1">
        <v>49</v>
      </c>
      <c r="I117" s="1">
        <v>51</v>
      </c>
      <c r="J117" s="1">
        <v>38</v>
      </c>
      <c r="L117" s="1"/>
    </row>
    <row r="118" spans="1:12" hidden="1" x14ac:dyDescent="0.2">
      <c r="A118" t="s">
        <v>74</v>
      </c>
      <c r="B118">
        <f>_xlfn.XLOOKUP(C118,Players!B:B,Players!A:A)</f>
        <v>25</v>
      </c>
      <c r="C118" t="s">
        <v>38</v>
      </c>
      <c r="D118" s="1" t="s">
        <v>27</v>
      </c>
      <c r="E118" s="1">
        <v>36</v>
      </c>
      <c r="F118" s="1">
        <v>114</v>
      </c>
      <c r="G118" s="1">
        <v>78</v>
      </c>
      <c r="H118" s="1">
        <v>58</v>
      </c>
      <c r="I118" s="1">
        <v>56</v>
      </c>
      <c r="J118" s="1">
        <v>37</v>
      </c>
      <c r="K118" t="s">
        <v>123</v>
      </c>
      <c r="L118" s="1">
        <v>7.5</v>
      </c>
    </row>
    <row r="119" spans="1:12" hidden="1" x14ac:dyDescent="0.2">
      <c r="A119" t="s">
        <v>74</v>
      </c>
      <c r="B119">
        <f>_xlfn.XLOOKUP(C119,Players!B:B,Players!A:A)</f>
        <v>28</v>
      </c>
      <c r="C119" t="s">
        <v>35</v>
      </c>
      <c r="D119" s="1" t="s">
        <v>27</v>
      </c>
      <c r="E119" s="1">
        <v>30</v>
      </c>
      <c r="F119" s="1">
        <v>109</v>
      </c>
      <c r="G119" s="1">
        <v>79</v>
      </c>
      <c r="H119" s="1">
        <v>60</v>
      </c>
      <c r="I119" s="1">
        <v>49</v>
      </c>
      <c r="J119" s="1">
        <v>42</v>
      </c>
      <c r="L119" s="1"/>
    </row>
    <row r="120" spans="1:12" hidden="1" x14ac:dyDescent="0.2">
      <c r="A120" t="s">
        <v>74</v>
      </c>
      <c r="B120">
        <f>_xlfn.XLOOKUP(C120,Players!B:B,Players!A:A)</f>
        <v>38</v>
      </c>
      <c r="C120" t="s">
        <v>32</v>
      </c>
      <c r="D120" s="1" t="s">
        <v>27</v>
      </c>
      <c r="E120" s="1">
        <v>20</v>
      </c>
      <c r="F120" s="1">
        <v>100</v>
      </c>
      <c r="G120" s="1">
        <v>80</v>
      </c>
      <c r="H120" s="1">
        <v>51</v>
      </c>
      <c r="I120" s="1">
        <v>49</v>
      </c>
      <c r="J120" s="1">
        <v>38</v>
      </c>
      <c r="L120" s="1"/>
    </row>
    <row r="121" spans="1:12" hidden="1" x14ac:dyDescent="0.2">
      <c r="A121" t="s">
        <v>74</v>
      </c>
      <c r="B121">
        <f>_xlfn.XLOOKUP(C121,Players!B:B,Players!A:A)</f>
        <v>22</v>
      </c>
      <c r="C121" t="s">
        <v>49</v>
      </c>
      <c r="D121" s="1" t="s">
        <v>27</v>
      </c>
      <c r="E121" s="1">
        <v>24</v>
      </c>
      <c r="F121" s="1">
        <v>105</v>
      </c>
      <c r="G121" s="1">
        <v>81</v>
      </c>
      <c r="H121" s="1">
        <v>53</v>
      </c>
      <c r="I121" s="1">
        <v>52</v>
      </c>
      <c r="J121" s="1">
        <v>38</v>
      </c>
      <c r="L121" s="1"/>
    </row>
    <row r="122" spans="1:12" hidden="1" x14ac:dyDescent="0.2">
      <c r="A122" t="s">
        <v>74</v>
      </c>
      <c r="B122">
        <f>_xlfn.XLOOKUP(C122,Players!B:B,Players!A:A)</f>
        <v>9</v>
      </c>
      <c r="C122" t="s">
        <v>37</v>
      </c>
      <c r="D122" s="1" t="s">
        <v>27</v>
      </c>
      <c r="E122" s="1">
        <v>19</v>
      </c>
      <c r="F122" s="1">
        <v>105</v>
      </c>
      <c r="G122" s="1">
        <v>86</v>
      </c>
      <c r="H122" s="1">
        <v>54</v>
      </c>
      <c r="I122" s="1">
        <v>51</v>
      </c>
      <c r="J122" s="1">
        <v>37</v>
      </c>
      <c r="L122" s="1"/>
    </row>
    <row r="123" spans="1:12" hidden="1" x14ac:dyDescent="0.2">
      <c r="A123" t="s">
        <v>74</v>
      </c>
      <c r="B123">
        <f>_xlfn.XLOOKUP(C123,Players!B:B,Players!A:A)</f>
        <v>11</v>
      </c>
      <c r="C123" t="s">
        <v>45</v>
      </c>
      <c r="D123" s="1" t="s">
        <v>27</v>
      </c>
      <c r="E123" s="1">
        <v>30</v>
      </c>
      <c r="F123" s="1">
        <v>120</v>
      </c>
      <c r="G123" s="1">
        <v>90</v>
      </c>
      <c r="H123" s="1">
        <v>55</v>
      </c>
      <c r="I123" s="1">
        <v>65</v>
      </c>
      <c r="J123" s="1">
        <v>39</v>
      </c>
      <c r="K123" t="s">
        <v>123</v>
      </c>
      <c r="L123" s="1">
        <v>2</v>
      </c>
    </row>
    <row r="124" spans="1:12" hidden="1" x14ac:dyDescent="0.2">
      <c r="A124" t="s">
        <v>74</v>
      </c>
      <c r="B124">
        <f>_xlfn.XLOOKUP(C124,Players!B:B,Players!A:A)</f>
        <v>14</v>
      </c>
      <c r="C124" t="s">
        <v>26</v>
      </c>
      <c r="D124" s="1" t="s">
        <v>27</v>
      </c>
      <c r="E124" s="1">
        <v>36</v>
      </c>
      <c r="F124" s="1">
        <v>132</v>
      </c>
      <c r="G124" s="1">
        <v>96</v>
      </c>
      <c r="H124" s="1">
        <v>73</v>
      </c>
      <c r="I124" s="1">
        <v>59</v>
      </c>
      <c r="J124" s="1">
        <v>39</v>
      </c>
      <c r="L124" s="1"/>
    </row>
    <row r="125" spans="1:12" x14ac:dyDescent="0.2">
      <c r="A125" t="s">
        <v>10</v>
      </c>
      <c r="B125">
        <f>_xlfn.XLOOKUP(C125,Players!B:B,Players!A:A)</f>
        <v>41</v>
      </c>
      <c r="C125" s="19" t="s">
        <v>13</v>
      </c>
      <c r="D125" s="23" t="s">
        <v>12</v>
      </c>
      <c r="E125" s="26">
        <v>13</v>
      </c>
      <c r="F125" s="23">
        <v>85</v>
      </c>
      <c r="G125" s="23">
        <v>72</v>
      </c>
      <c r="H125" s="23">
        <v>40</v>
      </c>
      <c r="I125" s="23">
        <v>45</v>
      </c>
      <c r="J125" s="23">
        <v>34</v>
      </c>
      <c r="L125" s="30"/>
    </row>
    <row r="126" spans="1:12" x14ac:dyDescent="0.2">
      <c r="A126" t="s">
        <v>10</v>
      </c>
      <c r="B126">
        <f>_xlfn.XLOOKUP(C126,Players!B:B,Players!A:A)</f>
        <v>13</v>
      </c>
      <c r="C126" s="19" t="s">
        <v>14</v>
      </c>
      <c r="D126" s="23" t="s">
        <v>12</v>
      </c>
      <c r="E126" s="26">
        <v>21</v>
      </c>
      <c r="F126" s="23">
        <v>94</v>
      </c>
      <c r="G126" s="23">
        <v>73</v>
      </c>
      <c r="H126" s="23">
        <v>44</v>
      </c>
      <c r="I126" s="23">
        <v>50</v>
      </c>
      <c r="J126" s="23">
        <v>36</v>
      </c>
      <c r="L126" s="30"/>
    </row>
    <row r="127" spans="1:12" x14ac:dyDescent="0.2">
      <c r="A127" t="s">
        <v>10</v>
      </c>
      <c r="B127">
        <f>_xlfn.XLOOKUP(C127,Players!B:B,Players!A:A)</f>
        <v>35</v>
      </c>
      <c r="C127" s="19" t="s">
        <v>15</v>
      </c>
      <c r="D127" s="23" t="s">
        <v>12</v>
      </c>
      <c r="E127" s="26">
        <v>20</v>
      </c>
      <c r="F127" s="23">
        <v>93</v>
      </c>
      <c r="G127" s="23">
        <v>73</v>
      </c>
      <c r="H127" s="23">
        <v>47</v>
      </c>
      <c r="I127" s="23">
        <v>46</v>
      </c>
      <c r="J127" s="23">
        <v>30</v>
      </c>
      <c r="L127" s="30"/>
    </row>
    <row r="128" spans="1:12" x14ac:dyDescent="0.2">
      <c r="A128" t="s">
        <v>10</v>
      </c>
      <c r="B128">
        <f>_xlfn.XLOOKUP(C128,Players!B:B,Players!A:A)</f>
        <v>7</v>
      </c>
      <c r="C128" s="19" t="s">
        <v>16</v>
      </c>
      <c r="D128" s="23" t="s">
        <v>12</v>
      </c>
      <c r="E128" s="26">
        <v>12</v>
      </c>
      <c r="F128" s="23">
        <v>86</v>
      </c>
      <c r="G128" s="23">
        <v>74</v>
      </c>
      <c r="H128" s="23">
        <v>43</v>
      </c>
      <c r="I128" s="23">
        <v>43</v>
      </c>
      <c r="J128" s="23">
        <v>35</v>
      </c>
      <c r="L128" s="1"/>
    </row>
    <row r="129" spans="1:12" x14ac:dyDescent="0.2">
      <c r="A129" t="s">
        <v>10</v>
      </c>
      <c r="B129">
        <f>_xlfn.XLOOKUP(C129,Players!B:B,Players!A:A)</f>
        <v>15</v>
      </c>
      <c r="C129" s="19" t="s">
        <v>11</v>
      </c>
      <c r="D129" s="23" t="s">
        <v>12</v>
      </c>
      <c r="E129" s="26">
        <v>14</v>
      </c>
      <c r="F129" s="23">
        <v>88</v>
      </c>
      <c r="G129" s="23">
        <v>74</v>
      </c>
      <c r="H129" s="23">
        <v>47</v>
      </c>
      <c r="I129" s="23">
        <v>41</v>
      </c>
      <c r="J129" s="23">
        <v>26</v>
      </c>
      <c r="L129" s="1"/>
    </row>
    <row r="130" spans="1:12" x14ac:dyDescent="0.2">
      <c r="A130" t="s">
        <v>10</v>
      </c>
      <c r="B130">
        <f>_xlfn.XLOOKUP(C130,Players!B:B,Players!A:A)</f>
        <v>17</v>
      </c>
      <c r="C130" s="19" t="s">
        <v>17</v>
      </c>
      <c r="D130" s="23" t="s">
        <v>12</v>
      </c>
      <c r="E130" s="26">
        <v>15</v>
      </c>
      <c r="F130" s="23">
        <v>89</v>
      </c>
      <c r="G130" s="23">
        <v>74</v>
      </c>
      <c r="H130" s="23">
        <v>48</v>
      </c>
      <c r="I130" s="23">
        <v>41</v>
      </c>
      <c r="J130" s="23">
        <v>32</v>
      </c>
      <c r="L130" s="1"/>
    </row>
    <row r="131" spans="1:12" x14ac:dyDescent="0.2">
      <c r="A131" t="s">
        <v>10</v>
      </c>
      <c r="B131">
        <f>_xlfn.XLOOKUP(C131,Players!B:B,Players!A:A)</f>
        <v>20</v>
      </c>
      <c r="C131" s="19" t="s">
        <v>18</v>
      </c>
      <c r="D131" s="23" t="s">
        <v>12</v>
      </c>
      <c r="E131" s="26">
        <v>8</v>
      </c>
      <c r="F131" s="23">
        <v>84</v>
      </c>
      <c r="G131" s="23">
        <v>76</v>
      </c>
      <c r="H131" s="23">
        <v>45</v>
      </c>
      <c r="I131" s="23">
        <v>39</v>
      </c>
      <c r="J131" s="23">
        <v>32</v>
      </c>
      <c r="K131" t="s">
        <v>123</v>
      </c>
      <c r="L131" s="1">
        <v>8</v>
      </c>
    </row>
    <row r="132" spans="1:12" x14ac:dyDescent="0.2">
      <c r="A132" t="s">
        <v>10</v>
      </c>
      <c r="B132">
        <f>_xlfn.XLOOKUP(C132,Players!B:B,Players!A:A)</f>
        <v>26</v>
      </c>
      <c r="C132" s="19" t="s">
        <v>19</v>
      </c>
      <c r="D132" s="23" t="s">
        <v>12</v>
      </c>
      <c r="E132" s="26">
        <v>19</v>
      </c>
      <c r="F132" s="23">
        <v>96</v>
      </c>
      <c r="G132" s="23">
        <v>77</v>
      </c>
      <c r="H132" s="23">
        <v>47</v>
      </c>
      <c r="I132" s="23">
        <v>49</v>
      </c>
      <c r="J132" s="23">
        <v>30</v>
      </c>
      <c r="K132" t="s">
        <v>123</v>
      </c>
      <c r="L132" s="1">
        <v>6.5</v>
      </c>
    </row>
    <row r="133" spans="1:12" x14ac:dyDescent="0.2">
      <c r="A133" t="s">
        <v>10</v>
      </c>
      <c r="B133">
        <f>_xlfn.XLOOKUP(C133,Players!B:B,Players!A:A)</f>
        <v>29</v>
      </c>
      <c r="C133" s="19" t="s">
        <v>20</v>
      </c>
      <c r="D133" s="23" t="s">
        <v>12</v>
      </c>
      <c r="E133" s="26">
        <v>14</v>
      </c>
      <c r="F133" s="23">
        <v>91</v>
      </c>
      <c r="G133" s="23">
        <v>77</v>
      </c>
      <c r="H133" s="23">
        <v>48</v>
      </c>
      <c r="I133" s="23">
        <v>43</v>
      </c>
      <c r="J133" s="23">
        <v>35</v>
      </c>
      <c r="L133" s="1"/>
    </row>
    <row r="134" spans="1:12" x14ac:dyDescent="0.2">
      <c r="A134" t="s">
        <v>10</v>
      </c>
      <c r="B134">
        <f>_xlfn.XLOOKUP(C134,Players!B:B,Players!A:A)</f>
        <v>36</v>
      </c>
      <c r="C134" s="19" t="s">
        <v>21</v>
      </c>
      <c r="D134" s="23" t="s">
        <v>12</v>
      </c>
      <c r="E134" s="26">
        <v>9</v>
      </c>
      <c r="F134" s="23">
        <v>88</v>
      </c>
      <c r="G134" s="23">
        <v>79</v>
      </c>
      <c r="H134" s="23">
        <v>47</v>
      </c>
      <c r="I134" s="23">
        <v>41</v>
      </c>
      <c r="J134" s="23">
        <v>34</v>
      </c>
      <c r="K134" t="s">
        <v>123</v>
      </c>
      <c r="L134" s="1">
        <v>5</v>
      </c>
    </row>
    <row r="135" spans="1:12" x14ac:dyDescent="0.2">
      <c r="A135" t="s">
        <v>10</v>
      </c>
      <c r="B135">
        <f>_xlfn.XLOOKUP(C135,Players!B:B,Players!A:A)</f>
        <v>6</v>
      </c>
      <c r="C135" s="19" t="s">
        <v>22</v>
      </c>
      <c r="D135" s="23" t="s">
        <v>12</v>
      </c>
      <c r="E135" s="26">
        <v>17</v>
      </c>
      <c r="F135" s="23">
        <v>97</v>
      </c>
      <c r="G135" s="23">
        <v>80</v>
      </c>
      <c r="H135" s="23">
        <v>45</v>
      </c>
      <c r="I135" s="23">
        <v>52</v>
      </c>
      <c r="J135" s="23">
        <v>33</v>
      </c>
      <c r="L135" s="1"/>
    </row>
    <row r="136" spans="1:12" x14ac:dyDescent="0.2">
      <c r="A136" t="s">
        <v>10</v>
      </c>
      <c r="B136">
        <f>_xlfn.XLOOKUP(C136,Players!B:B,Players!A:A)</f>
        <v>44</v>
      </c>
      <c r="C136" s="19" t="s">
        <v>23</v>
      </c>
      <c r="D136" s="23" t="s">
        <v>12</v>
      </c>
      <c r="E136" s="26">
        <v>19</v>
      </c>
      <c r="F136" s="23">
        <v>100</v>
      </c>
      <c r="G136" s="23">
        <v>81</v>
      </c>
      <c r="H136" s="23">
        <v>53</v>
      </c>
      <c r="I136" s="23">
        <v>47</v>
      </c>
      <c r="J136" s="23">
        <v>36</v>
      </c>
      <c r="L136" s="1"/>
    </row>
    <row r="137" spans="1:12" x14ac:dyDescent="0.2">
      <c r="A137" t="s">
        <v>10</v>
      </c>
      <c r="B137">
        <f>_xlfn.XLOOKUP(C137,Players!B:B,Players!A:A)</f>
        <v>4</v>
      </c>
      <c r="C137" s="19" t="s">
        <v>24</v>
      </c>
      <c r="D137" s="23" t="s">
        <v>12</v>
      </c>
      <c r="E137" s="26">
        <v>20</v>
      </c>
      <c r="F137" s="23">
        <v>106</v>
      </c>
      <c r="G137" s="23">
        <v>86</v>
      </c>
      <c r="H137" s="23">
        <v>48</v>
      </c>
      <c r="I137" s="23">
        <v>58</v>
      </c>
      <c r="J137" s="23">
        <v>32</v>
      </c>
      <c r="L137" s="1"/>
    </row>
    <row r="138" spans="1:12" x14ac:dyDescent="0.2">
      <c r="A138" t="s">
        <v>10</v>
      </c>
      <c r="B138">
        <f>_xlfn.XLOOKUP(C138,Players!B:B,Players!A:A)</f>
        <v>34</v>
      </c>
      <c r="C138" s="19" t="s">
        <v>25</v>
      </c>
      <c r="D138" s="23" t="s">
        <v>12</v>
      </c>
      <c r="E138" s="26">
        <v>12</v>
      </c>
      <c r="F138" s="23">
        <v>100</v>
      </c>
      <c r="G138" s="23">
        <v>88</v>
      </c>
      <c r="H138" s="23">
        <v>48</v>
      </c>
      <c r="I138" s="23">
        <v>52</v>
      </c>
      <c r="J138" s="23">
        <v>35</v>
      </c>
      <c r="K138" t="s">
        <v>123</v>
      </c>
      <c r="L138" s="1">
        <v>1</v>
      </c>
    </row>
    <row r="139" spans="1:12" x14ac:dyDescent="0.2">
      <c r="A139" t="s">
        <v>10</v>
      </c>
      <c r="B139">
        <f>_xlfn.XLOOKUP(C139,Players!B:B,Players!A:A)</f>
        <v>14</v>
      </c>
      <c r="C139" s="19" t="s">
        <v>26</v>
      </c>
      <c r="D139" s="23" t="s">
        <v>27</v>
      </c>
      <c r="E139" s="26">
        <v>36</v>
      </c>
      <c r="F139" s="23">
        <v>104</v>
      </c>
      <c r="G139" s="23">
        <v>68</v>
      </c>
      <c r="H139" s="23">
        <v>52</v>
      </c>
      <c r="I139" s="23">
        <v>52</v>
      </c>
      <c r="J139" s="23">
        <v>37</v>
      </c>
      <c r="L139" s="30"/>
    </row>
    <row r="140" spans="1:12" x14ac:dyDescent="0.2">
      <c r="A140" t="s">
        <v>10</v>
      </c>
      <c r="B140">
        <f>_xlfn.XLOOKUP(C140,Players!B:B,Players!A:A)</f>
        <v>10</v>
      </c>
      <c r="C140" s="19" t="s">
        <v>28</v>
      </c>
      <c r="D140" s="23" t="s">
        <v>27</v>
      </c>
      <c r="E140" s="26">
        <v>19</v>
      </c>
      <c r="F140" s="23">
        <v>92</v>
      </c>
      <c r="G140" s="23">
        <v>73</v>
      </c>
      <c r="H140" s="23">
        <v>47</v>
      </c>
      <c r="I140" s="23">
        <v>45</v>
      </c>
      <c r="J140" s="23">
        <v>28</v>
      </c>
      <c r="L140" s="1"/>
    </row>
    <row r="141" spans="1:12" x14ac:dyDescent="0.2">
      <c r="A141" t="s">
        <v>10</v>
      </c>
      <c r="B141">
        <f>_xlfn.XLOOKUP(C141,Players!B:B,Players!A:A)</f>
        <v>43</v>
      </c>
      <c r="C141" s="19" t="s">
        <v>29</v>
      </c>
      <c r="D141" s="23" t="s">
        <v>27</v>
      </c>
      <c r="E141" s="26">
        <v>30</v>
      </c>
      <c r="F141" s="23">
        <v>104</v>
      </c>
      <c r="G141" s="23">
        <v>74</v>
      </c>
      <c r="H141" s="23">
        <v>51</v>
      </c>
      <c r="I141" s="23">
        <v>53</v>
      </c>
      <c r="J141" s="23">
        <v>38</v>
      </c>
      <c r="L141" s="1"/>
    </row>
    <row r="142" spans="1:12" x14ac:dyDescent="0.2">
      <c r="A142" t="s">
        <v>10</v>
      </c>
      <c r="B142">
        <f>_xlfn.XLOOKUP(C142,Players!B:B,Players!A:A)</f>
        <v>1</v>
      </c>
      <c r="C142" s="19" t="s">
        <v>30</v>
      </c>
      <c r="D142" s="23" t="s">
        <v>27</v>
      </c>
      <c r="E142" s="26">
        <v>21</v>
      </c>
      <c r="F142" s="23">
        <v>96</v>
      </c>
      <c r="G142" s="23">
        <v>75</v>
      </c>
      <c r="H142" s="23">
        <v>51</v>
      </c>
      <c r="I142" s="23">
        <v>45</v>
      </c>
      <c r="J142" s="23">
        <v>31</v>
      </c>
      <c r="K142" t="s">
        <v>123</v>
      </c>
      <c r="L142" s="1">
        <v>8</v>
      </c>
    </row>
    <row r="143" spans="1:12" x14ac:dyDescent="0.2">
      <c r="A143" t="s">
        <v>10</v>
      </c>
      <c r="B143">
        <f>_xlfn.XLOOKUP(C143,Players!B:B,Players!A:A)</f>
        <v>24</v>
      </c>
      <c r="C143" s="19" t="s">
        <v>31</v>
      </c>
      <c r="D143" s="23" t="s">
        <v>27</v>
      </c>
      <c r="E143" s="26">
        <v>23</v>
      </c>
      <c r="F143" s="23">
        <v>98</v>
      </c>
      <c r="G143" s="23">
        <v>75</v>
      </c>
      <c r="H143" s="23">
        <v>47</v>
      </c>
      <c r="I143" s="23">
        <v>51</v>
      </c>
      <c r="J143" s="23">
        <v>36</v>
      </c>
      <c r="L143" s="1"/>
    </row>
    <row r="144" spans="1:12" x14ac:dyDescent="0.2">
      <c r="A144" t="s">
        <v>10</v>
      </c>
      <c r="B144">
        <f>_xlfn.XLOOKUP(C144,Players!B:B,Players!A:A)</f>
        <v>38</v>
      </c>
      <c r="C144" s="19" t="s">
        <v>32</v>
      </c>
      <c r="D144" s="23" t="s">
        <v>27</v>
      </c>
      <c r="E144" s="26">
        <v>20</v>
      </c>
      <c r="F144" s="23">
        <v>95</v>
      </c>
      <c r="G144" s="23">
        <v>75</v>
      </c>
      <c r="H144" s="23">
        <v>47</v>
      </c>
      <c r="I144" s="23">
        <v>48</v>
      </c>
      <c r="J144" s="23">
        <v>35</v>
      </c>
      <c r="K144" t="s">
        <v>123</v>
      </c>
      <c r="L144" s="1">
        <v>8</v>
      </c>
    </row>
    <row r="145" spans="1:12" x14ac:dyDescent="0.2">
      <c r="A145" t="s">
        <v>10</v>
      </c>
      <c r="B145">
        <f>_xlfn.XLOOKUP(C145,Players!B:B,Players!A:A)</f>
        <v>18</v>
      </c>
      <c r="C145" s="19" t="s">
        <v>33</v>
      </c>
      <c r="D145" s="23" t="s">
        <v>27</v>
      </c>
      <c r="E145" s="26">
        <v>36</v>
      </c>
      <c r="F145" s="23">
        <v>112</v>
      </c>
      <c r="G145" s="23">
        <v>76</v>
      </c>
      <c r="H145" s="23">
        <v>58</v>
      </c>
      <c r="I145" s="23">
        <v>54</v>
      </c>
      <c r="J145" s="23">
        <v>36</v>
      </c>
      <c r="K145" t="s">
        <v>123</v>
      </c>
      <c r="L145" s="1">
        <v>6</v>
      </c>
    </row>
    <row r="146" spans="1:12" x14ac:dyDescent="0.2">
      <c r="A146" t="s">
        <v>10</v>
      </c>
      <c r="B146">
        <f>_xlfn.XLOOKUP(C146,Players!B:B,Players!A:A)</f>
        <v>19</v>
      </c>
      <c r="C146" s="19" t="s">
        <v>34</v>
      </c>
      <c r="D146" s="23" t="s">
        <v>27</v>
      </c>
      <c r="E146" s="26">
        <v>22</v>
      </c>
      <c r="F146" s="23">
        <v>99</v>
      </c>
      <c r="G146" s="23">
        <v>77</v>
      </c>
      <c r="H146" s="23">
        <v>51</v>
      </c>
      <c r="I146" s="23">
        <v>48</v>
      </c>
      <c r="J146" s="23">
        <v>34</v>
      </c>
      <c r="L146" s="1"/>
    </row>
    <row r="147" spans="1:12" x14ac:dyDescent="0.2">
      <c r="A147" t="s">
        <v>10</v>
      </c>
      <c r="B147">
        <f>_xlfn.XLOOKUP(C147,Players!B:B,Players!A:A)</f>
        <v>28</v>
      </c>
      <c r="C147" s="19" t="s">
        <v>35</v>
      </c>
      <c r="D147" s="23" t="s">
        <v>27</v>
      </c>
      <c r="E147" s="26">
        <v>31</v>
      </c>
      <c r="F147" s="23">
        <v>110</v>
      </c>
      <c r="G147" s="23">
        <v>79</v>
      </c>
      <c r="H147" s="23">
        <v>52</v>
      </c>
      <c r="I147" s="23">
        <v>58</v>
      </c>
      <c r="J147" s="23">
        <v>39</v>
      </c>
      <c r="K147" t="s">
        <v>123</v>
      </c>
      <c r="L147" s="1">
        <v>4</v>
      </c>
    </row>
    <row r="148" spans="1:12" x14ac:dyDescent="0.2">
      <c r="A148" t="s">
        <v>10</v>
      </c>
      <c r="B148">
        <f>_xlfn.XLOOKUP(C148,Players!B:B,Players!A:A)</f>
        <v>30</v>
      </c>
      <c r="C148" s="19" t="s">
        <v>36</v>
      </c>
      <c r="D148" s="23" t="s">
        <v>27</v>
      </c>
      <c r="E148" s="26">
        <v>35</v>
      </c>
      <c r="F148" s="23">
        <v>116</v>
      </c>
      <c r="G148" s="23">
        <v>81</v>
      </c>
      <c r="H148" s="23">
        <v>58</v>
      </c>
      <c r="I148" s="23">
        <v>58</v>
      </c>
      <c r="J148" s="23">
        <v>36</v>
      </c>
      <c r="L148" s="1"/>
    </row>
    <row r="149" spans="1:12" x14ac:dyDescent="0.2">
      <c r="A149" t="s">
        <v>10</v>
      </c>
      <c r="B149">
        <f>_xlfn.XLOOKUP(C149,Players!B:B,Players!A:A)</f>
        <v>9</v>
      </c>
      <c r="C149" s="19" t="s">
        <v>37</v>
      </c>
      <c r="D149" s="23" t="s">
        <v>27</v>
      </c>
      <c r="E149" s="26">
        <v>20</v>
      </c>
      <c r="F149" s="23">
        <v>105</v>
      </c>
      <c r="G149" s="23">
        <v>85</v>
      </c>
      <c r="H149" s="23">
        <v>45</v>
      </c>
      <c r="I149" s="23">
        <v>60</v>
      </c>
      <c r="J149" s="23">
        <v>33</v>
      </c>
      <c r="L149" s="1"/>
    </row>
    <row r="150" spans="1:12" x14ac:dyDescent="0.2">
      <c r="A150" t="s">
        <v>10</v>
      </c>
      <c r="B150">
        <f>_xlfn.XLOOKUP(C150,Players!B:B,Players!A:A)</f>
        <v>25</v>
      </c>
      <c r="C150" s="19" t="s">
        <v>38</v>
      </c>
      <c r="D150" s="23" t="s">
        <v>27</v>
      </c>
      <c r="E150" s="26">
        <v>36</v>
      </c>
      <c r="F150" s="23">
        <v>127</v>
      </c>
      <c r="G150" s="23">
        <v>91</v>
      </c>
      <c r="H150" s="23">
        <v>67</v>
      </c>
      <c r="I150" s="23">
        <v>60</v>
      </c>
      <c r="J150" s="23">
        <v>39</v>
      </c>
      <c r="L150" s="1"/>
    </row>
    <row r="151" spans="1:12" x14ac:dyDescent="0.2">
      <c r="L151" s="1"/>
    </row>
    <row r="152" spans="1:12" x14ac:dyDescent="0.2">
      <c r="L152" s="1"/>
    </row>
  </sheetData>
  <autoFilter ref="A1:L150" xr:uid="{F3B800D8-26AB-5145-974D-2E86BCED24A0}">
    <filterColumn colId="0">
      <filters>
        <filter val="2026_05"/>
      </filters>
    </filterColumn>
    <sortState xmlns:xlrd2="http://schemas.microsoft.com/office/spreadsheetml/2017/richdata2" ref="A125:L150">
      <sortCondition ref="D2:D150"/>
      <sortCondition ref="G2:G150"/>
    </sortState>
  </autoFilter>
  <phoneticPr fontId="7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531C9-F436-4F48-BF76-4EB6DECD4D79}">
  <dimension ref="A1:F122"/>
  <sheetViews>
    <sheetView topLeftCell="A83" workbookViewId="0">
      <selection activeCell="F119" sqref="F119"/>
    </sheetView>
  </sheetViews>
  <sheetFormatPr baseColWidth="10" defaultRowHeight="16" x14ac:dyDescent="0.2"/>
  <cols>
    <col min="1" max="1" width="10" style="11" bestFit="1" customWidth="1"/>
    <col min="2" max="2" width="8.5" style="11" bestFit="1" customWidth="1"/>
    <col min="3" max="3" width="13.5" style="11" bestFit="1" customWidth="1"/>
    <col min="4" max="4" width="17" style="11" bestFit="1" customWidth="1"/>
    <col min="5" max="5" width="10.33203125" style="11" bestFit="1" customWidth="1"/>
    <col min="6" max="6" width="8.1640625" style="11" bestFit="1" customWidth="1"/>
  </cols>
  <sheetData>
    <row r="1" spans="1:6" ht="34" x14ac:dyDescent="0.2">
      <c r="A1" s="10" t="s">
        <v>0</v>
      </c>
      <c r="B1" s="10" t="s">
        <v>1</v>
      </c>
      <c r="C1" s="10" t="s">
        <v>2</v>
      </c>
      <c r="D1" s="10" t="s">
        <v>83</v>
      </c>
      <c r="E1" s="10" t="s">
        <v>84</v>
      </c>
      <c r="F1" s="10" t="s">
        <v>85</v>
      </c>
    </row>
    <row r="2" spans="1:6" x14ac:dyDescent="0.2">
      <c r="A2" s="11" t="s">
        <v>10</v>
      </c>
      <c r="B2" s="11">
        <f>_xlfn.XLOOKUP(C2,Players!B:B,Players!A:A)</f>
        <v>41</v>
      </c>
      <c r="C2" s="9" t="s">
        <v>13</v>
      </c>
      <c r="D2" s="11" t="s">
        <v>86</v>
      </c>
      <c r="E2" s="11">
        <v>1</v>
      </c>
      <c r="F2" s="11">
        <v>70</v>
      </c>
    </row>
    <row r="3" spans="1:6" x14ac:dyDescent="0.2">
      <c r="A3" s="11" t="s">
        <v>10</v>
      </c>
      <c r="B3" s="11">
        <f>_xlfn.XLOOKUP(C3,Players!B:B,Players!A:A)</f>
        <v>13</v>
      </c>
      <c r="C3" s="9" t="s">
        <v>14</v>
      </c>
      <c r="D3" s="11" t="s">
        <v>86</v>
      </c>
      <c r="E3" s="11">
        <v>2</v>
      </c>
      <c r="F3" s="11">
        <v>35</v>
      </c>
    </row>
    <row r="4" spans="1:6" x14ac:dyDescent="0.2">
      <c r="A4" s="11" t="s">
        <v>10</v>
      </c>
      <c r="B4" s="11">
        <f>_xlfn.XLOOKUP(C4,Players!B:B,Players!A:A)</f>
        <v>35</v>
      </c>
      <c r="C4" s="9" t="s">
        <v>15</v>
      </c>
      <c r="D4" s="11" t="s">
        <v>86</v>
      </c>
      <c r="E4" s="11">
        <v>2</v>
      </c>
      <c r="F4" s="11">
        <v>35</v>
      </c>
    </row>
    <row r="5" spans="1:6" x14ac:dyDescent="0.2">
      <c r="A5" s="11" t="s">
        <v>10</v>
      </c>
      <c r="B5" s="11">
        <f>_xlfn.XLOOKUP(C5,Players!B:B,Players!A:A)</f>
        <v>14</v>
      </c>
      <c r="C5" s="9" t="s">
        <v>26</v>
      </c>
      <c r="D5" s="11" t="s">
        <v>87</v>
      </c>
      <c r="E5" s="11">
        <v>1</v>
      </c>
      <c r="F5" s="11">
        <v>65</v>
      </c>
    </row>
    <row r="6" spans="1:6" x14ac:dyDescent="0.2">
      <c r="A6" s="11" t="s">
        <v>10</v>
      </c>
      <c r="B6" s="11">
        <f>_xlfn.XLOOKUP(C6,Players!B:B,Players!A:A)</f>
        <v>10</v>
      </c>
      <c r="C6" s="9" t="s">
        <v>28</v>
      </c>
      <c r="D6" s="11" t="s">
        <v>87</v>
      </c>
      <c r="E6" s="11">
        <v>2</v>
      </c>
      <c r="F6" s="11">
        <v>39</v>
      </c>
    </row>
    <row r="7" spans="1:6" x14ac:dyDescent="0.2">
      <c r="A7" s="11" t="s">
        <v>10</v>
      </c>
      <c r="B7" s="11">
        <f>_xlfn.XLOOKUP(C7,Players!B:B,Players!A:A)</f>
        <v>43</v>
      </c>
      <c r="C7" s="9" t="s">
        <v>29</v>
      </c>
      <c r="D7" s="11" t="s">
        <v>87</v>
      </c>
      <c r="E7" s="11">
        <v>3</v>
      </c>
      <c r="F7" s="11">
        <v>26</v>
      </c>
    </row>
    <row r="8" spans="1:6" x14ac:dyDescent="0.2">
      <c r="A8" s="11" t="s">
        <v>10</v>
      </c>
      <c r="B8" s="11">
        <f>_xlfn.XLOOKUP(C8,Players!B:B,Players!A:A)</f>
        <v>41</v>
      </c>
      <c r="C8" s="9" t="s">
        <v>13</v>
      </c>
      <c r="D8" s="11" t="s">
        <v>88</v>
      </c>
      <c r="E8" s="11">
        <v>1</v>
      </c>
      <c r="F8" s="11">
        <v>21</v>
      </c>
    </row>
    <row r="9" spans="1:6" x14ac:dyDescent="0.2">
      <c r="A9" s="11" t="s">
        <v>10</v>
      </c>
      <c r="B9" s="11">
        <f>_xlfn.XLOOKUP(C9,Players!B:B,Players!A:A)</f>
        <v>13</v>
      </c>
      <c r="C9" s="9" t="s">
        <v>14</v>
      </c>
      <c r="D9" s="11" t="s">
        <v>88</v>
      </c>
      <c r="E9" s="11">
        <v>1</v>
      </c>
      <c r="F9" s="11">
        <v>21</v>
      </c>
    </row>
    <row r="10" spans="1:6" x14ac:dyDescent="0.2">
      <c r="A10" s="11" t="s">
        <v>10</v>
      </c>
      <c r="B10" s="11">
        <f>_xlfn.XLOOKUP(C10,Players!B:B,Players!A:A)</f>
        <v>14</v>
      </c>
      <c r="C10" s="9" t="s">
        <v>26</v>
      </c>
      <c r="D10" s="11" t="s">
        <v>89</v>
      </c>
      <c r="E10" s="11">
        <v>1</v>
      </c>
      <c r="F10" s="11">
        <v>26</v>
      </c>
    </row>
    <row r="11" spans="1:6" x14ac:dyDescent="0.2">
      <c r="A11" s="11" t="s">
        <v>10</v>
      </c>
      <c r="B11" s="11">
        <f>_xlfn.XLOOKUP(C11,Players!B:B,Players!A:A)</f>
        <v>9</v>
      </c>
      <c r="C11" s="9" t="s">
        <v>37</v>
      </c>
      <c r="D11" s="11" t="s">
        <v>89</v>
      </c>
      <c r="E11" s="11">
        <v>2</v>
      </c>
      <c r="F11" s="11">
        <v>13</v>
      </c>
    </row>
    <row r="12" spans="1:6" x14ac:dyDescent="0.2">
      <c r="A12" s="11" t="s">
        <v>10</v>
      </c>
      <c r="B12" s="11">
        <f>_xlfn.XLOOKUP(C12,Players!B:B,Players!A:A)</f>
        <v>17</v>
      </c>
      <c r="C12" s="9" t="s">
        <v>17</v>
      </c>
      <c r="D12" s="11" t="s">
        <v>90</v>
      </c>
      <c r="E12" s="11">
        <v>1</v>
      </c>
      <c r="F12" s="11">
        <v>28</v>
      </c>
    </row>
    <row r="13" spans="1:6" x14ac:dyDescent="0.2">
      <c r="A13" s="11" t="s">
        <v>10</v>
      </c>
      <c r="B13" s="11">
        <f>_xlfn.XLOOKUP(C13,Players!B:B,Players!A:A)</f>
        <v>15</v>
      </c>
      <c r="C13" s="9" t="s">
        <v>11</v>
      </c>
      <c r="D13" s="11" t="s">
        <v>90</v>
      </c>
      <c r="E13" s="11">
        <v>2</v>
      </c>
      <c r="F13" s="11">
        <v>14</v>
      </c>
    </row>
    <row r="14" spans="1:6" x14ac:dyDescent="0.2">
      <c r="A14" s="11" t="s">
        <v>10</v>
      </c>
      <c r="B14" s="11">
        <f>_xlfn.XLOOKUP(C14,Players!B:B,Players!A:A)</f>
        <v>14</v>
      </c>
      <c r="C14" s="9" t="s">
        <v>26</v>
      </c>
      <c r="D14" s="11" t="s">
        <v>91</v>
      </c>
      <c r="E14" s="11">
        <v>1</v>
      </c>
      <c r="F14" s="11">
        <v>19.5</v>
      </c>
    </row>
    <row r="15" spans="1:6" x14ac:dyDescent="0.2">
      <c r="A15" s="11" t="s">
        <v>10</v>
      </c>
      <c r="B15" s="11">
        <f>_xlfn.XLOOKUP(C15,Players!B:B,Players!A:A)</f>
        <v>1</v>
      </c>
      <c r="C15" s="9" t="s">
        <v>30</v>
      </c>
      <c r="D15" s="11" t="s">
        <v>91</v>
      </c>
      <c r="E15" s="11">
        <v>1</v>
      </c>
      <c r="F15" s="11">
        <v>19.5</v>
      </c>
    </row>
    <row r="16" spans="1:6" x14ac:dyDescent="0.2">
      <c r="A16" s="11" t="s">
        <v>10</v>
      </c>
      <c r="B16" s="11">
        <f>_xlfn.XLOOKUP(C16,Players!B:B,Players!A:A)</f>
        <v>15</v>
      </c>
      <c r="C16" s="9" t="s">
        <v>11</v>
      </c>
      <c r="D16" s="11" t="s">
        <v>92</v>
      </c>
      <c r="E16" s="11" t="s">
        <v>93</v>
      </c>
      <c r="F16" s="11">
        <v>27</v>
      </c>
    </row>
    <row r="17" spans="1:6" x14ac:dyDescent="0.2">
      <c r="A17" s="11" t="s">
        <v>10</v>
      </c>
      <c r="B17" s="11">
        <f>_xlfn.XLOOKUP(C17,Players!B:B,Players!A:A)</f>
        <v>20</v>
      </c>
      <c r="C17" s="9" t="s">
        <v>18</v>
      </c>
      <c r="D17" s="11" t="s">
        <v>94</v>
      </c>
      <c r="E17" s="11" t="s">
        <v>93</v>
      </c>
      <c r="F17" s="11">
        <v>28</v>
      </c>
    </row>
    <row r="18" spans="1:6" x14ac:dyDescent="0.2">
      <c r="A18" s="11" t="s">
        <v>10</v>
      </c>
      <c r="B18" s="11">
        <f>_xlfn.XLOOKUP(C18,Players!B:B,Players!A:A)</f>
        <v>19</v>
      </c>
      <c r="C18" s="9" t="s">
        <v>34</v>
      </c>
      <c r="D18" s="11" t="s">
        <v>95</v>
      </c>
      <c r="E18" s="11" t="s">
        <v>93</v>
      </c>
      <c r="F18" s="11">
        <v>26</v>
      </c>
    </row>
    <row r="19" spans="1:6" x14ac:dyDescent="0.2">
      <c r="A19" s="11" t="s">
        <v>10</v>
      </c>
      <c r="B19" s="11">
        <f>_xlfn.XLOOKUP(C19,Players!B:B,Players!A:A)</f>
        <v>20</v>
      </c>
      <c r="C19" s="9" t="s">
        <v>18</v>
      </c>
      <c r="D19" s="11" t="s">
        <v>96</v>
      </c>
      <c r="E19" s="11" t="s">
        <v>93</v>
      </c>
      <c r="F19" s="11">
        <v>27</v>
      </c>
    </row>
    <row r="20" spans="1:6" x14ac:dyDescent="0.2">
      <c r="A20" s="11" t="s">
        <v>10</v>
      </c>
      <c r="B20" s="11">
        <f>_xlfn.XLOOKUP(C20,Players!B:B,Players!A:A)</f>
        <v>44</v>
      </c>
      <c r="C20" s="9" t="s">
        <v>23</v>
      </c>
      <c r="D20" s="11" t="s">
        <v>96</v>
      </c>
      <c r="E20" s="11" t="s">
        <v>93</v>
      </c>
      <c r="F20" s="11">
        <v>27</v>
      </c>
    </row>
    <row r="21" spans="1:6" x14ac:dyDescent="0.2">
      <c r="A21" s="11" t="s">
        <v>10</v>
      </c>
      <c r="B21" s="11">
        <f>_xlfn.XLOOKUP(C21,Players!B:B,Players!A:A)</f>
        <v>29</v>
      </c>
      <c r="C21" s="9" t="s">
        <v>20</v>
      </c>
      <c r="D21" s="11" t="s">
        <v>96</v>
      </c>
      <c r="E21" s="11" t="s">
        <v>93</v>
      </c>
      <c r="F21" s="11">
        <v>27</v>
      </c>
    </row>
    <row r="22" spans="1:6" x14ac:dyDescent="0.2">
      <c r="A22" s="11" t="s">
        <v>10</v>
      </c>
      <c r="B22" s="11">
        <f>_xlfn.XLOOKUP(C22,Players!B:B,Players!A:A)</f>
        <v>25</v>
      </c>
      <c r="C22" s="9" t="s">
        <v>38</v>
      </c>
      <c r="D22" s="11" t="s">
        <v>96</v>
      </c>
      <c r="E22" s="11" t="s">
        <v>93</v>
      </c>
      <c r="F22" s="11">
        <v>27</v>
      </c>
    </row>
    <row r="23" spans="1:6" x14ac:dyDescent="0.2">
      <c r="A23" s="11" t="s">
        <v>10</v>
      </c>
      <c r="B23" s="11">
        <f>_xlfn.XLOOKUP(C23,Players!B:B,Players!A:A)</f>
        <v>1</v>
      </c>
      <c r="C23" s="9" t="s">
        <v>30</v>
      </c>
      <c r="D23" s="11" t="s">
        <v>96</v>
      </c>
      <c r="E23" s="11" t="s">
        <v>93</v>
      </c>
      <c r="F23" s="11">
        <v>27</v>
      </c>
    </row>
    <row r="24" spans="1:6" x14ac:dyDescent="0.2">
      <c r="A24" s="11" t="s">
        <v>74</v>
      </c>
      <c r="B24" s="11">
        <f>_xlfn.XLOOKUP(C24,Players!B:B,Players!A:A)</f>
        <v>29</v>
      </c>
      <c r="C24" s="9" t="s">
        <v>20</v>
      </c>
      <c r="D24" s="11" t="s">
        <v>86</v>
      </c>
      <c r="E24" s="11">
        <v>1</v>
      </c>
      <c r="F24" s="11">
        <v>90</v>
      </c>
    </row>
    <row r="25" spans="1:6" x14ac:dyDescent="0.2">
      <c r="A25" s="11" t="s">
        <v>74</v>
      </c>
      <c r="B25" s="11">
        <f>_xlfn.XLOOKUP(C25,Players!B:B,Players!A:A)</f>
        <v>40</v>
      </c>
      <c r="C25" s="9" t="s">
        <v>81</v>
      </c>
      <c r="D25" s="11" t="s">
        <v>86</v>
      </c>
      <c r="E25" s="11">
        <v>2</v>
      </c>
      <c r="F25" s="11">
        <v>54</v>
      </c>
    </row>
    <row r="26" spans="1:6" x14ac:dyDescent="0.2">
      <c r="A26" s="11" t="s">
        <v>74</v>
      </c>
      <c r="B26" s="11">
        <f>_xlfn.XLOOKUP(C26,Players!B:B,Players!A:A)</f>
        <v>20</v>
      </c>
      <c r="C26" s="9" t="s">
        <v>18</v>
      </c>
      <c r="D26" s="11" t="s">
        <v>86</v>
      </c>
      <c r="E26" s="11">
        <v>3</v>
      </c>
      <c r="F26" s="11">
        <v>12</v>
      </c>
    </row>
    <row r="27" spans="1:6" x14ac:dyDescent="0.2">
      <c r="A27" s="11" t="s">
        <v>74</v>
      </c>
      <c r="B27" s="11">
        <f>_xlfn.XLOOKUP(C27,Players!B:B,Players!A:A)</f>
        <v>10</v>
      </c>
      <c r="C27" s="9" t="s">
        <v>28</v>
      </c>
      <c r="D27" s="11" t="s">
        <v>87</v>
      </c>
      <c r="E27" s="11">
        <v>1</v>
      </c>
      <c r="F27" s="11">
        <v>72</v>
      </c>
    </row>
    <row r="28" spans="1:6" x14ac:dyDescent="0.2">
      <c r="A28" s="11" t="s">
        <v>74</v>
      </c>
      <c r="B28" s="11">
        <f>_xlfn.XLOOKUP(C28,Players!B:B,Players!A:A)</f>
        <v>19</v>
      </c>
      <c r="C28" s="9" t="s">
        <v>34</v>
      </c>
      <c r="D28" s="11" t="s">
        <v>87</v>
      </c>
      <c r="E28" s="11">
        <v>1</v>
      </c>
      <c r="F28" s="11">
        <v>72</v>
      </c>
    </row>
    <row r="29" spans="1:6" x14ac:dyDescent="0.2">
      <c r="A29" s="11" t="s">
        <v>74</v>
      </c>
      <c r="B29" s="11">
        <f>_xlfn.XLOOKUP(C29,Players!B:B,Players!A:A)</f>
        <v>18</v>
      </c>
      <c r="C29" s="9" t="s">
        <v>33</v>
      </c>
      <c r="D29" s="11" t="s">
        <v>87</v>
      </c>
      <c r="E29" s="11">
        <v>3</v>
      </c>
      <c r="F29" s="11">
        <v>36</v>
      </c>
    </row>
    <row r="30" spans="1:6" x14ac:dyDescent="0.2">
      <c r="A30" s="11" t="s">
        <v>74</v>
      </c>
      <c r="B30" s="11">
        <f>_xlfn.XLOOKUP(C30,Players!B:B,Players!A:A)</f>
        <v>29</v>
      </c>
      <c r="C30" s="11" t="s">
        <v>20</v>
      </c>
      <c r="D30" s="11" t="s">
        <v>88</v>
      </c>
      <c r="E30" s="11">
        <v>1</v>
      </c>
      <c r="F30" s="11">
        <v>27</v>
      </c>
    </row>
    <row r="31" spans="1:6" x14ac:dyDescent="0.2">
      <c r="A31" s="11" t="s">
        <v>74</v>
      </c>
      <c r="B31" s="11">
        <f>_xlfn.XLOOKUP(C31,Players!B:B,Players!A:A)</f>
        <v>40</v>
      </c>
      <c r="C31" s="11" t="s">
        <v>81</v>
      </c>
      <c r="D31" s="11" t="s">
        <v>88</v>
      </c>
      <c r="E31" s="11">
        <v>1</v>
      </c>
      <c r="F31" s="11">
        <v>27</v>
      </c>
    </row>
    <row r="32" spans="1:6" x14ac:dyDescent="0.2">
      <c r="A32" s="11" t="s">
        <v>74</v>
      </c>
      <c r="B32" s="11">
        <f>_xlfn.XLOOKUP(C32,Players!B:B,Players!A:A)</f>
        <v>19</v>
      </c>
      <c r="C32" s="9" t="s">
        <v>34</v>
      </c>
      <c r="D32" s="11" t="s">
        <v>89</v>
      </c>
      <c r="E32" s="11">
        <v>1</v>
      </c>
      <c r="F32" s="11">
        <v>36</v>
      </c>
    </row>
    <row r="33" spans="1:6" x14ac:dyDescent="0.2">
      <c r="A33" s="11" t="s">
        <v>74</v>
      </c>
      <c r="B33" s="11">
        <f>_xlfn.XLOOKUP(C33,Players!B:B,Players!A:A)</f>
        <v>1</v>
      </c>
      <c r="C33" s="9" t="s">
        <v>30</v>
      </c>
      <c r="D33" s="11" t="s">
        <v>89</v>
      </c>
      <c r="E33" s="11">
        <v>2</v>
      </c>
      <c r="F33" s="11">
        <v>18</v>
      </c>
    </row>
    <row r="34" spans="1:6" x14ac:dyDescent="0.2">
      <c r="A34" s="11" t="s">
        <v>74</v>
      </c>
      <c r="B34" s="11">
        <f>_xlfn.XLOOKUP(C34,Players!B:B,Players!A:A)</f>
        <v>34</v>
      </c>
      <c r="C34" s="11" t="s">
        <v>25</v>
      </c>
      <c r="D34" s="11" t="s">
        <v>90</v>
      </c>
      <c r="E34" s="11">
        <v>1</v>
      </c>
      <c r="F34" s="11">
        <v>36</v>
      </c>
    </row>
    <row r="35" spans="1:6" x14ac:dyDescent="0.2">
      <c r="A35" s="11" t="s">
        <v>74</v>
      </c>
      <c r="B35" s="11">
        <f>_xlfn.XLOOKUP(C35,Players!B:B,Players!A:A)</f>
        <v>7</v>
      </c>
      <c r="C35" s="11" t="s">
        <v>16</v>
      </c>
      <c r="D35" s="11" t="s">
        <v>90</v>
      </c>
      <c r="E35" s="11">
        <v>2</v>
      </c>
      <c r="F35" s="11">
        <v>18</v>
      </c>
    </row>
    <row r="36" spans="1:6" x14ac:dyDescent="0.2">
      <c r="A36" s="11" t="s">
        <v>74</v>
      </c>
      <c r="B36" s="11">
        <f>_xlfn.XLOOKUP(C36,Players!B:B,Players!A:A)</f>
        <v>10</v>
      </c>
      <c r="C36" s="11" t="s">
        <v>28</v>
      </c>
      <c r="D36" s="11" t="s">
        <v>91</v>
      </c>
      <c r="E36" s="11">
        <v>1</v>
      </c>
      <c r="F36" s="11">
        <v>36</v>
      </c>
    </row>
    <row r="37" spans="1:6" x14ac:dyDescent="0.2">
      <c r="A37" s="11" t="s">
        <v>74</v>
      </c>
      <c r="B37" s="11">
        <f>_xlfn.XLOOKUP(C37,Players!B:B,Players!A:A)</f>
        <v>18</v>
      </c>
      <c r="C37" s="11" t="s">
        <v>33</v>
      </c>
      <c r="D37" s="11" t="s">
        <v>91</v>
      </c>
      <c r="E37" s="11">
        <v>2</v>
      </c>
      <c r="F37" s="11">
        <v>9</v>
      </c>
    </row>
    <row r="38" spans="1:6" x14ac:dyDescent="0.2">
      <c r="A38" s="11" t="s">
        <v>74</v>
      </c>
      <c r="B38" s="11">
        <f>_xlfn.XLOOKUP(C38,Players!B:B,Players!A:A)</f>
        <v>3</v>
      </c>
      <c r="C38" s="11" t="s">
        <v>42</v>
      </c>
      <c r="D38" s="11" t="s">
        <v>92</v>
      </c>
      <c r="E38" s="11" t="s">
        <v>93</v>
      </c>
      <c r="F38" s="11">
        <v>36</v>
      </c>
    </row>
    <row r="39" spans="1:6" x14ac:dyDescent="0.2">
      <c r="A39" s="11" t="s">
        <v>74</v>
      </c>
      <c r="B39" s="11">
        <f>_xlfn.XLOOKUP(C39,Players!B:B,Players!A:A)</f>
        <v>16</v>
      </c>
      <c r="C39" s="11" t="s">
        <v>47</v>
      </c>
      <c r="D39" s="11" t="s">
        <v>94</v>
      </c>
      <c r="E39" s="11" t="s">
        <v>93</v>
      </c>
      <c r="F39" s="11">
        <v>36</v>
      </c>
    </row>
    <row r="40" spans="1:6" x14ac:dyDescent="0.2">
      <c r="A40" s="11" t="s">
        <v>74</v>
      </c>
      <c r="B40" s="11">
        <f>_xlfn.XLOOKUP(C40,Players!B:B,Players!A:A)</f>
        <v>28</v>
      </c>
      <c r="C40" s="11" t="s">
        <v>35</v>
      </c>
      <c r="D40" s="11" t="s">
        <v>95</v>
      </c>
      <c r="E40" s="11" t="s">
        <v>93</v>
      </c>
      <c r="F40" s="11">
        <v>36</v>
      </c>
    </row>
    <row r="41" spans="1:6" x14ac:dyDescent="0.2">
      <c r="A41" s="11" t="s">
        <v>74</v>
      </c>
      <c r="B41" s="11">
        <f>_xlfn.XLOOKUP(C41,Players!B:B,Players!A:A)</f>
        <v>37</v>
      </c>
      <c r="C41" s="11" t="s">
        <v>55</v>
      </c>
      <c r="D41" s="11" t="s">
        <v>96</v>
      </c>
      <c r="E41" s="11" t="s">
        <v>93</v>
      </c>
      <c r="F41" s="11">
        <v>45</v>
      </c>
    </row>
    <row r="42" spans="1:6" x14ac:dyDescent="0.2">
      <c r="A42" s="11" t="s">
        <v>74</v>
      </c>
      <c r="B42" s="11">
        <f>_xlfn.XLOOKUP(C42,Players!B:B,Players!A:A)</f>
        <v>20</v>
      </c>
      <c r="C42" s="11" t="s">
        <v>18</v>
      </c>
      <c r="D42" s="11" t="s">
        <v>96</v>
      </c>
      <c r="E42" s="11" t="s">
        <v>93</v>
      </c>
      <c r="F42" s="11">
        <v>45</v>
      </c>
    </row>
    <row r="43" spans="1:6" x14ac:dyDescent="0.2">
      <c r="A43" s="11" t="s">
        <v>74</v>
      </c>
      <c r="B43" s="11">
        <f>_xlfn.XLOOKUP(C43,Players!B:B,Players!A:A)</f>
        <v>7</v>
      </c>
      <c r="C43" s="11" t="s">
        <v>16</v>
      </c>
      <c r="D43" s="11" t="s">
        <v>96</v>
      </c>
      <c r="E43" s="11" t="s">
        <v>93</v>
      </c>
      <c r="F43" s="11">
        <v>45</v>
      </c>
    </row>
    <row r="44" spans="1:6" x14ac:dyDescent="0.2">
      <c r="A44" s="11" t="s">
        <v>74</v>
      </c>
      <c r="B44" s="11">
        <f>_xlfn.XLOOKUP(C44,Players!B:B,Players!A:A)</f>
        <v>37</v>
      </c>
      <c r="C44" s="11" t="s">
        <v>55</v>
      </c>
      <c r="D44" s="11" t="s">
        <v>96</v>
      </c>
      <c r="E44" s="11" t="s">
        <v>93</v>
      </c>
      <c r="F44" s="11">
        <v>45</v>
      </c>
    </row>
    <row r="45" spans="1:6" x14ac:dyDescent="0.2">
      <c r="A45" s="11" t="s">
        <v>74</v>
      </c>
      <c r="B45" s="11">
        <f>_xlfn.XLOOKUP(C45,Players!B:B,Players!A:A)</f>
        <v>7</v>
      </c>
      <c r="C45" s="9" t="s">
        <v>16</v>
      </c>
      <c r="D45" s="11" t="s">
        <v>86</v>
      </c>
      <c r="E45" s="11">
        <v>3</v>
      </c>
      <c r="F45" s="11">
        <v>12</v>
      </c>
    </row>
    <row r="46" spans="1:6" x14ac:dyDescent="0.2">
      <c r="A46" s="11" t="s">
        <v>74</v>
      </c>
      <c r="B46" s="11">
        <f>_xlfn.XLOOKUP(C46,Players!B:B,Players!A:A)</f>
        <v>15</v>
      </c>
      <c r="C46" s="9" t="s">
        <v>11</v>
      </c>
      <c r="D46" s="11" t="s">
        <v>86</v>
      </c>
      <c r="E46" s="11">
        <v>3</v>
      </c>
      <c r="F46" s="11">
        <v>12</v>
      </c>
    </row>
    <row r="47" spans="1:6" x14ac:dyDescent="0.2">
      <c r="A47" s="11" t="s">
        <v>74</v>
      </c>
      <c r="B47" s="11">
        <f>_xlfn.XLOOKUP(C47,Players!B:B,Players!A:A)</f>
        <v>30</v>
      </c>
      <c r="C47" s="11" t="s">
        <v>36</v>
      </c>
      <c r="D47" s="11" t="s">
        <v>91</v>
      </c>
      <c r="E47" s="11">
        <v>2</v>
      </c>
      <c r="F47" s="11">
        <v>9</v>
      </c>
    </row>
    <row r="48" spans="1:6" x14ac:dyDescent="0.2">
      <c r="A48" s="11" t="s">
        <v>66</v>
      </c>
      <c r="B48" s="11">
        <f>_xlfn.XLOOKUP(C48,Players!B:B,Players!A:A)</f>
        <v>36</v>
      </c>
      <c r="C48" s="11" t="s">
        <v>21</v>
      </c>
      <c r="D48" s="11" t="s">
        <v>86</v>
      </c>
      <c r="E48" s="11">
        <v>1</v>
      </c>
      <c r="F48" s="11">
        <v>123.5</v>
      </c>
    </row>
    <row r="49" spans="1:6" x14ac:dyDescent="0.2">
      <c r="A49" s="11" t="s">
        <v>66</v>
      </c>
      <c r="B49" s="11">
        <f>_xlfn.XLOOKUP(C49,Players!B:B,Players!A:A)</f>
        <v>34</v>
      </c>
      <c r="C49" s="11" t="s">
        <v>25</v>
      </c>
      <c r="D49" s="11" t="s">
        <v>86</v>
      </c>
      <c r="E49" s="11">
        <v>1</v>
      </c>
      <c r="F49" s="11">
        <v>123.5</v>
      </c>
    </row>
    <row r="50" spans="1:6" x14ac:dyDescent="0.2">
      <c r="A50" s="11" t="s">
        <v>66</v>
      </c>
      <c r="B50" s="11">
        <f>_xlfn.XLOOKUP(C50,Players!B:B,Players!A:A)</f>
        <v>12</v>
      </c>
      <c r="C50" s="11" t="s">
        <v>46</v>
      </c>
      <c r="D50" s="11" t="s">
        <v>86</v>
      </c>
      <c r="E50" s="11">
        <v>3</v>
      </c>
      <c r="F50" s="11">
        <v>19</v>
      </c>
    </row>
    <row r="51" spans="1:6" x14ac:dyDescent="0.2">
      <c r="A51" s="11" t="s">
        <v>66</v>
      </c>
      <c r="B51" s="11">
        <f>_xlfn.XLOOKUP(C51,Players!B:B,Players!A:A)</f>
        <v>23</v>
      </c>
      <c r="C51" s="11" t="s">
        <v>50</v>
      </c>
      <c r="D51" s="11" t="s">
        <v>87</v>
      </c>
      <c r="E51" s="11">
        <v>1</v>
      </c>
      <c r="F51" s="11">
        <v>95</v>
      </c>
    </row>
    <row r="52" spans="1:6" x14ac:dyDescent="0.2">
      <c r="A52" s="11" t="s">
        <v>66</v>
      </c>
      <c r="B52" s="11">
        <f>_xlfn.XLOOKUP(C52,Players!B:B,Players!A:A)</f>
        <v>26</v>
      </c>
      <c r="C52" s="11" t="s">
        <v>19</v>
      </c>
      <c r="D52" s="11" t="s">
        <v>87</v>
      </c>
      <c r="E52" s="11">
        <v>2</v>
      </c>
      <c r="F52" s="11">
        <v>57</v>
      </c>
    </row>
    <row r="53" spans="1:6" x14ac:dyDescent="0.2">
      <c r="A53" s="11" t="s">
        <v>66</v>
      </c>
      <c r="B53" s="11">
        <f>_xlfn.XLOOKUP(C53,Players!B:B,Players!A:A)</f>
        <v>10</v>
      </c>
      <c r="C53" s="11" t="s">
        <v>28</v>
      </c>
      <c r="D53" s="11" t="s">
        <v>87</v>
      </c>
      <c r="E53" s="11">
        <v>3</v>
      </c>
      <c r="F53" s="11">
        <v>19</v>
      </c>
    </row>
    <row r="54" spans="1:6" x14ac:dyDescent="0.2">
      <c r="A54" s="11" t="s">
        <v>66</v>
      </c>
      <c r="B54" s="11">
        <f>_xlfn.XLOOKUP(C54,Players!B:B,Players!A:A)</f>
        <v>36</v>
      </c>
      <c r="C54" s="11" t="s">
        <v>21</v>
      </c>
      <c r="D54" s="11" t="s">
        <v>88</v>
      </c>
      <c r="E54" s="11">
        <v>1</v>
      </c>
      <c r="F54" s="11">
        <v>38</v>
      </c>
    </row>
    <row r="55" spans="1:6" x14ac:dyDescent="0.2">
      <c r="A55" s="11" t="s">
        <v>66</v>
      </c>
      <c r="B55" s="11">
        <f>_xlfn.XLOOKUP(C55,Players!B:B,Players!A:A)</f>
        <v>34</v>
      </c>
      <c r="C55" s="11" t="s">
        <v>25</v>
      </c>
      <c r="D55" s="11" t="s">
        <v>88</v>
      </c>
      <c r="E55" s="11">
        <v>2</v>
      </c>
      <c r="F55" s="11">
        <v>19</v>
      </c>
    </row>
    <row r="56" spans="1:6" x14ac:dyDescent="0.2">
      <c r="A56" s="11" t="s">
        <v>66</v>
      </c>
      <c r="B56" s="11">
        <f>_xlfn.XLOOKUP(C56,Players!B:B,Players!A:A)</f>
        <v>9</v>
      </c>
      <c r="C56" s="11" t="s">
        <v>37</v>
      </c>
      <c r="D56" s="11" t="s">
        <v>89</v>
      </c>
      <c r="E56" s="11">
        <v>1</v>
      </c>
      <c r="F56" s="11">
        <v>38</v>
      </c>
    </row>
    <row r="57" spans="1:6" x14ac:dyDescent="0.2">
      <c r="A57" s="11" t="s">
        <v>66</v>
      </c>
      <c r="B57" s="11">
        <f>_xlfn.XLOOKUP(C57,Players!B:B,Players!A:A)</f>
        <v>14</v>
      </c>
      <c r="C57" s="11" t="s">
        <v>26</v>
      </c>
      <c r="D57" s="11" t="s">
        <v>89</v>
      </c>
      <c r="E57" s="11">
        <v>2</v>
      </c>
      <c r="F57" s="11">
        <v>9.5</v>
      </c>
    </row>
    <row r="58" spans="1:6" x14ac:dyDescent="0.2">
      <c r="A58" s="11" t="s">
        <v>66</v>
      </c>
      <c r="B58" s="11">
        <f>_xlfn.XLOOKUP(C58,Players!B:B,Players!A:A)</f>
        <v>34</v>
      </c>
      <c r="C58" s="11" t="s">
        <v>25</v>
      </c>
      <c r="D58" s="11" t="s">
        <v>90</v>
      </c>
      <c r="E58" s="11">
        <v>1</v>
      </c>
      <c r="F58" s="11">
        <v>38</v>
      </c>
    </row>
    <row r="59" spans="1:6" x14ac:dyDescent="0.2">
      <c r="A59" s="11" t="s">
        <v>66</v>
      </c>
      <c r="B59" s="11">
        <f>_xlfn.XLOOKUP(C59,Players!B:B,Players!A:A)</f>
        <v>12</v>
      </c>
      <c r="C59" s="11" t="s">
        <v>46</v>
      </c>
      <c r="D59" s="11" t="s">
        <v>90</v>
      </c>
      <c r="E59" s="11">
        <v>2</v>
      </c>
      <c r="F59" s="11">
        <v>19</v>
      </c>
    </row>
    <row r="60" spans="1:6" x14ac:dyDescent="0.2">
      <c r="A60" s="11" t="s">
        <v>66</v>
      </c>
      <c r="B60" s="11">
        <f>_xlfn.XLOOKUP(C60,Players!B:B,Players!A:A)</f>
        <v>26</v>
      </c>
      <c r="C60" s="11" t="s">
        <v>19</v>
      </c>
      <c r="D60" s="11" t="s">
        <v>91</v>
      </c>
      <c r="E60" s="11">
        <v>1</v>
      </c>
      <c r="F60" s="11">
        <v>38</v>
      </c>
    </row>
    <row r="61" spans="1:6" x14ac:dyDescent="0.2">
      <c r="A61" s="11" t="s">
        <v>66</v>
      </c>
      <c r="B61" s="11">
        <f>_xlfn.XLOOKUP(C61,Players!B:B,Players!A:A)</f>
        <v>23</v>
      </c>
      <c r="C61" s="11" t="s">
        <v>50</v>
      </c>
      <c r="D61" s="11" t="s">
        <v>91</v>
      </c>
      <c r="E61" s="11">
        <v>2</v>
      </c>
      <c r="F61" s="11">
        <v>19</v>
      </c>
    </row>
    <row r="62" spans="1:6" x14ac:dyDescent="0.2">
      <c r="A62" s="11" t="s">
        <v>66</v>
      </c>
      <c r="B62" s="11">
        <f>_xlfn.XLOOKUP(C62,Players!B:B,Players!A:A)</f>
        <v>12</v>
      </c>
      <c r="C62" s="11" t="s">
        <v>46</v>
      </c>
      <c r="D62" s="11" t="s">
        <v>92</v>
      </c>
      <c r="E62" s="11">
        <v>1</v>
      </c>
      <c r="F62" s="11">
        <v>12.66</v>
      </c>
    </row>
    <row r="63" spans="1:6" x14ac:dyDescent="0.2">
      <c r="A63" s="11" t="s">
        <v>66</v>
      </c>
      <c r="B63" s="11">
        <f>_xlfn.XLOOKUP(C63,Players!B:B,Players!A:A)</f>
        <v>36</v>
      </c>
      <c r="C63" s="11" t="s">
        <v>21</v>
      </c>
      <c r="D63" s="11" t="s">
        <v>94</v>
      </c>
      <c r="E63" s="11" t="s">
        <v>93</v>
      </c>
      <c r="F63" s="11">
        <v>38</v>
      </c>
    </row>
    <row r="64" spans="1:6" x14ac:dyDescent="0.2">
      <c r="A64" s="11" t="s">
        <v>66</v>
      </c>
      <c r="B64" s="11">
        <f>_xlfn.XLOOKUP(C64,Players!B:B,Players!A:A)</f>
        <v>23</v>
      </c>
      <c r="C64" s="11" t="s">
        <v>50</v>
      </c>
      <c r="D64" s="11" t="s">
        <v>95</v>
      </c>
      <c r="E64" s="11" t="s">
        <v>93</v>
      </c>
      <c r="F64" s="11">
        <v>38</v>
      </c>
    </row>
    <row r="65" spans="1:6" x14ac:dyDescent="0.2">
      <c r="A65" s="11" t="s">
        <v>66</v>
      </c>
      <c r="B65" s="11">
        <f>_xlfn.XLOOKUP(C65,Players!B:B,Players!A:A)</f>
        <v>34</v>
      </c>
      <c r="C65" s="11" t="s">
        <v>25</v>
      </c>
      <c r="D65" s="11" t="s">
        <v>96</v>
      </c>
      <c r="E65" s="11" t="s">
        <v>93</v>
      </c>
      <c r="F65" s="11">
        <v>47.5</v>
      </c>
    </row>
    <row r="66" spans="1:6" x14ac:dyDescent="0.2">
      <c r="A66" s="11" t="s">
        <v>66</v>
      </c>
      <c r="B66" s="11">
        <f>_xlfn.XLOOKUP(C66,Players!B:B,Players!A:A)</f>
        <v>32</v>
      </c>
      <c r="C66" s="11" t="s">
        <v>53</v>
      </c>
      <c r="D66" s="11" t="s">
        <v>96</v>
      </c>
      <c r="E66" s="11" t="s">
        <v>93</v>
      </c>
      <c r="F66" s="11">
        <v>47.5</v>
      </c>
    </row>
    <row r="67" spans="1:6" x14ac:dyDescent="0.2">
      <c r="A67" s="11" t="s">
        <v>66</v>
      </c>
      <c r="B67" s="11">
        <f>_xlfn.XLOOKUP(C67,Players!B:B,Players!A:A)</f>
        <v>34</v>
      </c>
      <c r="C67" s="11" t="s">
        <v>25</v>
      </c>
      <c r="D67" s="11" t="s">
        <v>96</v>
      </c>
      <c r="E67" s="11" t="s">
        <v>93</v>
      </c>
      <c r="F67" s="11">
        <v>47.5</v>
      </c>
    </row>
    <row r="68" spans="1:6" x14ac:dyDescent="0.2">
      <c r="A68" s="11" t="s">
        <v>66</v>
      </c>
      <c r="B68" s="11">
        <f>_xlfn.XLOOKUP(C68,Players!B:B,Players!A:A)</f>
        <v>23</v>
      </c>
      <c r="C68" s="11" t="s">
        <v>50</v>
      </c>
      <c r="D68" s="11" t="s">
        <v>96</v>
      </c>
      <c r="E68" s="11" t="s">
        <v>93</v>
      </c>
      <c r="F68" s="11">
        <v>47.5</v>
      </c>
    </row>
    <row r="69" spans="1:6" x14ac:dyDescent="0.2">
      <c r="A69" s="11" t="s">
        <v>66</v>
      </c>
      <c r="B69" s="11">
        <f>_xlfn.XLOOKUP(C69,Players!B:B,Players!A:A)</f>
        <v>35</v>
      </c>
      <c r="C69" s="11" t="s">
        <v>15</v>
      </c>
      <c r="D69" s="11" t="s">
        <v>86</v>
      </c>
      <c r="E69" s="11">
        <v>3</v>
      </c>
      <c r="F69" s="11">
        <v>19</v>
      </c>
    </row>
    <row r="70" spans="1:6" x14ac:dyDescent="0.2">
      <c r="A70" s="11" t="s">
        <v>66</v>
      </c>
      <c r="B70" s="11">
        <f>_xlfn.XLOOKUP(C70,Players!B:B,Players!A:A)</f>
        <v>28</v>
      </c>
      <c r="C70" s="11" t="s">
        <v>35</v>
      </c>
      <c r="D70" s="11" t="s">
        <v>87</v>
      </c>
      <c r="E70" s="11">
        <v>3</v>
      </c>
      <c r="F70" s="11">
        <v>19</v>
      </c>
    </row>
    <row r="71" spans="1:6" x14ac:dyDescent="0.2">
      <c r="A71" s="11" t="s">
        <v>66</v>
      </c>
      <c r="B71" s="11">
        <f>_xlfn.XLOOKUP(C71,Players!B:B,Players!A:A)</f>
        <v>35</v>
      </c>
      <c r="C71" s="11" t="s">
        <v>15</v>
      </c>
      <c r="D71" s="11" t="s">
        <v>90</v>
      </c>
      <c r="E71" s="11">
        <v>2</v>
      </c>
      <c r="F71" s="11">
        <v>9.5</v>
      </c>
    </row>
    <row r="72" spans="1:6" x14ac:dyDescent="0.2">
      <c r="A72" s="11" t="s">
        <v>66</v>
      </c>
      <c r="B72" s="11">
        <f>_xlfn.XLOOKUP(C72,Players!B:B,Players!A:A)</f>
        <v>19</v>
      </c>
      <c r="C72" s="11" t="s">
        <v>34</v>
      </c>
      <c r="D72" s="11" t="s">
        <v>89</v>
      </c>
      <c r="E72" s="11">
        <v>2</v>
      </c>
      <c r="F72" s="11">
        <v>9.5</v>
      </c>
    </row>
    <row r="73" spans="1:6" x14ac:dyDescent="0.2">
      <c r="A73" s="11" t="s">
        <v>66</v>
      </c>
      <c r="B73" s="11">
        <f>_xlfn.XLOOKUP(C73,Players!B:B,Players!A:A)</f>
        <v>37</v>
      </c>
      <c r="C73" s="11" t="s">
        <v>55</v>
      </c>
      <c r="D73" s="11" t="s">
        <v>92</v>
      </c>
      <c r="E73" s="11">
        <v>1</v>
      </c>
      <c r="F73" s="11">
        <v>12.66</v>
      </c>
    </row>
    <row r="74" spans="1:6" x14ac:dyDescent="0.2">
      <c r="A74" s="11" t="s">
        <v>66</v>
      </c>
      <c r="B74" s="11">
        <f>_xlfn.XLOOKUP(C74,Players!B:B,Players!A:A)</f>
        <v>35</v>
      </c>
      <c r="C74" s="11" t="s">
        <v>15</v>
      </c>
      <c r="D74" s="11" t="s">
        <v>92</v>
      </c>
      <c r="E74" s="11">
        <v>1</v>
      </c>
      <c r="F74" s="11">
        <v>12.66</v>
      </c>
    </row>
    <row r="75" spans="1:6" x14ac:dyDescent="0.2">
      <c r="A75" s="11" t="s">
        <v>68</v>
      </c>
      <c r="B75" s="11">
        <f>_xlfn.XLOOKUP(C75,Players!B:B,Players!A:A)</f>
        <v>20</v>
      </c>
      <c r="C75" s="11" t="s">
        <v>18</v>
      </c>
      <c r="D75" s="11" t="s">
        <v>86</v>
      </c>
      <c r="E75" s="11">
        <v>1</v>
      </c>
      <c r="F75" s="11">
        <v>60</v>
      </c>
    </row>
    <row r="76" spans="1:6" x14ac:dyDescent="0.2">
      <c r="A76" s="11" t="s">
        <v>68</v>
      </c>
      <c r="B76" s="11">
        <f>_xlfn.XLOOKUP(C76,Players!B:B,Players!A:A)</f>
        <v>4</v>
      </c>
      <c r="C76" s="11" t="s">
        <v>24</v>
      </c>
      <c r="D76" s="11" t="s">
        <v>86</v>
      </c>
      <c r="E76" s="11">
        <v>2</v>
      </c>
      <c r="F76" s="11">
        <v>36</v>
      </c>
    </row>
    <row r="77" spans="1:6" x14ac:dyDescent="0.2">
      <c r="A77" s="11" t="s">
        <v>68</v>
      </c>
      <c r="B77" s="11">
        <f>_xlfn.XLOOKUP(C77,Players!B:B,Players!A:A)</f>
        <v>6</v>
      </c>
      <c r="C77" s="11" t="s">
        <v>22</v>
      </c>
      <c r="D77" s="11" t="s">
        <v>86</v>
      </c>
      <c r="E77" s="11">
        <v>3</v>
      </c>
      <c r="F77" s="11">
        <v>24</v>
      </c>
    </row>
    <row r="78" spans="1:6" x14ac:dyDescent="0.2">
      <c r="A78" s="11" t="s">
        <v>68</v>
      </c>
      <c r="B78" s="11">
        <f>_xlfn.XLOOKUP(C78,Players!B:B,Players!A:A)</f>
        <v>28</v>
      </c>
      <c r="C78" s="11" t="s">
        <v>35</v>
      </c>
      <c r="D78" s="11" t="s">
        <v>87</v>
      </c>
      <c r="E78" s="11">
        <v>1</v>
      </c>
      <c r="F78" s="11">
        <v>60</v>
      </c>
    </row>
    <row r="79" spans="1:6" x14ac:dyDescent="0.2">
      <c r="A79" s="11" t="s">
        <v>68</v>
      </c>
      <c r="B79" s="11">
        <f>_xlfn.XLOOKUP(C79,Players!B:B,Players!A:A)</f>
        <v>26</v>
      </c>
      <c r="C79" s="11" t="s">
        <v>19</v>
      </c>
      <c r="D79" s="11" t="s">
        <v>87</v>
      </c>
      <c r="E79" s="11">
        <v>2</v>
      </c>
      <c r="F79" s="11">
        <v>36</v>
      </c>
    </row>
    <row r="80" spans="1:6" x14ac:dyDescent="0.2">
      <c r="A80" s="11" t="s">
        <v>68</v>
      </c>
      <c r="B80" s="11">
        <f>_xlfn.XLOOKUP(C80,Players!B:B,Players!A:A)</f>
        <v>9</v>
      </c>
      <c r="C80" s="11" t="s">
        <v>37</v>
      </c>
      <c r="D80" s="11" t="s">
        <v>87</v>
      </c>
      <c r="E80" s="11">
        <v>3</v>
      </c>
      <c r="F80" s="11">
        <v>24</v>
      </c>
    </row>
    <row r="81" spans="1:6" x14ac:dyDescent="0.2">
      <c r="A81" s="11" t="s">
        <v>68</v>
      </c>
      <c r="B81" s="11">
        <f>_xlfn.XLOOKUP(C81,Players!B:B,Players!A:A)</f>
        <v>20</v>
      </c>
      <c r="C81" s="11" t="s">
        <v>18</v>
      </c>
      <c r="D81" s="11" t="s">
        <v>88</v>
      </c>
      <c r="E81" s="11">
        <v>1</v>
      </c>
      <c r="F81" s="11">
        <v>24</v>
      </c>
    </row>
    <row r="82" spans="1:6" x14ac:dyDescent="0.2">
      <c r="A82" s="11" t="s">
        <v>68</v>
      </c>
      <c r="B82" s="11">
        <f>_xlfn.XLOOKUP(C82,Players!B:B,Players!A:A)</f>
        <v>4</v>
      </c>
      <c r="C82" s="11" t="s">
        <v>24</v>
      </c>
      <c r="D82" s="11" t="s">
        <v>88</v>
      </c>
      <c r="E82" s="11">
        <v>2</v>
      </c>
      <c r="F82" s="11">
        <v>12</v>
      </c>
    </row>
    <row r="83" spans="1:6" x14ac:dyDescent="0.2">
      <c r="A83" s="11" t="s">
        <v>68</v>
      </c>
      <c r="B83" s="11">
        <f>_xlfn.XLOOKUP(C83,Players!B:B,Players!A:A)</f>
        <v>28</v>
      </c>
      <c r="C83" s="11" t="s">
        <v>35</v>
      </c>
      <c r="D83" s="11" t="s">
        <v>89</v>
      </c>
      <c r="E83" s="11">
        <v>1</v>
      </c>
      <c r="F83" s="11">
        <v>24</v>
      </c>
    </row>
    <row r="84" spans="1:6" x14ac:dyDescent="0.2">
      <c r="A84" s="11" t="s">
        <v>68</v>
      </c>
      <c r="B84" s="11">
        <f>_xlfn.XLOOKUP(C84,Players!B:B,Players!A:A)</f>
        <v>9</v>
      </c>
      <c r="C84" s="11" t="s">
        <v>37</v>
      </c>
      <c r="D84" s="11" t="s">
        <v>89</v>
      </c>
      <c r="E84" s="11">
        <v>2</v>
      </c>
      <c r="F84" s="11">
        <v>12</v>
      </c>
    </row>
    <row r="85" spans="1:6" x14ac:dyDescent="0.2">
      <c r="A85" s="11" t="s">
        <v>68</v>
      </c>
      <c r="B85" s="11">
        <f>_xlfn.XLOOKUP(C85,Players!B:B,Players!A:A)</f>
        <v>20</v>
      </c>
      <c r="C85" s="11" t="s">
        <v>18</v>
      </c>
      <c r="D85" s="11" t="s">
        <v>90</v>
      </c>
      <c r="E85" s="11">
        <v>1</v>
      </c>
      <c r="F85" s="11">
        <v>12</v>
      </c>
    </row>
    <row r="86" spans="1:6" x14ac:dyDescent="0.2">
      <c r="A86" s="11" t="s">
        <v>68</v>
      </c>
      <c r="B86" s="11">
        <f>_xlfn.XLOOKUP(C86,Players!B:B,Players!A:A)</f>
        <v>26</v>
      </c>
      <c r="C86" s="11" t="s">
        <v>19</v>
      </c>
      <c r="D86" s="11" t="s">
        <v>91</v>
      </c>
      <c r="E86" s="11">
        <v>1</v>
      </c>
      <c r="F86" s="11">
        <v>24</v>
      </c>
    </row>
    <row r="87" spans="1:6" x14ac:dyDescent="0.2">
      <c r="A87" s="11" t="s">
        <v>68</v>
      </c>
      <c r="B87" s="11">
        <f>_xlfn.XLOOKUP(C87,Players!B:B,Players!A:A)</f>
        <v>18</v>
      </c>
      <c r="C87" s="11" t="s">
        <v>33</v>
      </c>
      <c r="D87" s="11" t="s">
        <v>91</v>
      </c>
      <c r="E87" s="11">
        <v>2</v>
      </c>
      <c r="F87" s="11">
        <v>6</v>
      </c>
    </row>
    <row r="88" spans="1:6" x14ac:dyDescent="0.2">
      <c r="A88" s="11" t="s">
        <v>68</v>
      </c>
      <c r="B88" s="11">
        <f>_xlfn.XLOOKUP(C88,Players!B:B,Players!A:A)</f>
        <v>20</v>
      </c>
      <c r="C88" s="11" t="s">
        <v>18</v>
      </c>
      <c r="D88" s="11" t="s">
        <v>92</v>
      </c>
      <c r="E88" s="11" t="s">
        <v>93</v>
      </c>
      <c r="F88" s="11">
        <v>24</v>
      </c>
    </row>
    <row r="89" spans="1:6" x14ac:dyDescent="0.2">
      <c r="A89" s="11" t="s">
        <v>68</v>
      </c>
      <c r="B89" s="11">
        <f>_xlfn.XLOOKUP(C89,Players!B:B,Players!A:A)</f>
        <v>20</v>
      </c>
      <c r="C89" s="11" t="s">
        <v>18</v>
      </c>
      <c r="D89" s="11" t="s">
        <v>94</v>
      </c>
      <c r="E89" s="11" t="s">
        <v>93</v>
      </c>
      <c r="F89" s="11">
        <v>24</v>
      </c>
    </row>
    <row r="90" spans="1:6" x14ac:dyDescent="0.2">
      <c r="A90" s="11" t="s">
        <v>68</v>
      </c>
      <c r="B90" s="11">
        <f>_xlfn.XLOOKUP(C90,Players!B:B,Players!A:A)</f>
        <v>26</v>
      </c>
      <c r="C90" s="11" t="s">
        <v>19</v>
      </c>
      <c r="D90" s="11" t="s">
        <v>95</v>
      </c>
      <c r="E90" s="11" t="s">
        <v>93</v>
      </c>
      <c r="F90" s="11">
        <v>24</v>
      </c>
    </row>
    <row r="91" spans="1:6" x14ac:dyDescent="0.2">
      <c r="A91" s="11" t="s">
        <v>68</v>
      </c>
      <c r="B91" s="11">
        <f>_xlfn.XLOOKUP(C91,Players!B:B,Players!A:A)</f>
        <v>25</v>
      </c>
      <c r="C91" s="11" t="s">
        <v>38</v>
      </c>
      <c r="D91" s="11" t="s">
        <v>96</v>
      </c>
      <c r="E91" s="11" t="s">
        <v>93</v>
      </c>
      <c r="F91" s="11">
        <v>30</v>
      </c>
    </row>
    <row r="92" spans="1:6" x14ac:dyDescent="0.2">
      <c r="A92" s="11" t="s">
        <v>68</v>
      </c>
      <c r="B92" s="11">
        <f>_xlfn.XLOOKUP(C92,Players!B:B,Players!A:A)</f>
        <v>10</v>
      </c>
      <c r="C92" s="11" t="s">
        <v>28</v>
      </c>
      <c r="D92" s="11" t="s">
        <v>96</v>
      </c>
      <c r="E92" s="11" t="s">
        <v>93</v>
      </c>
      <c r="F92" s="11">
        <v>30</v>
      </c>
    </row>
    <row r="93" spans="1:6" x14ac:dyDescent="0.2">
      <c r="A93" s="11" t="s">
        <v>68</v>
      </c>
      <c r="B93" s="11">
        <f>_xlfn.XLOOKUP(C93,Players!B:B,Players!A:A)</f>
        <v>10</v>
      </c>
      <c r="C93" s="11" t="s">
        <v>28</v>
      </c>
      <c r="D93" s="11" t="s">
        <v>96</v>
      </c>
      <c r="E93" s="11" t="s">
        <v>93</v>
      </c>
      <c r="F93" s="11">
        <v>30</v>
      </c>
    </row>
    <row r="94" spans="1:6" x14ac:dyDescent="0.2">
      <c r="A94" s="11" t="s">
        <v>68</v>
      </c>
      <c r="B94" s="11">
        <f>_xlfn.XLOOKUP(C94,Players!B:B,Players!A:A)</f>
        <v>24</v>
      </c>
      <c r="C94" s="11" t="s">
        <v>31</v>
      </c>
      <c r="D94" s="11" t="s">
        <v>96</v>
      </c>
      <c r="E94" s="11" t="s">
        <v>93</v>
      </c>
      <c r="F94" s="11">
        <v>30</v>
      </c>
    </row>
    <row r="95" spans="1:6" x14ac:dyDescent="0.2">
      <c r="A95" s="11" t="s">
        <v>68</v>
      </c>
      <c r="B95" s="11">
        <f>_xlfn.XLOOKUP(C95,Players!B:B,Players!A:A)</f>
        <v>6</v>
      </c>
      <c r="C95" s="11" t="s">
        <v>22</v>
      </c>
      <c r="D95" s="11" t="s">
        <v>90</v>
      </c>
      <c r="E95" s="11">
        <v>1</v>
      </c>
      <c r="F95" s="11">
        <v>12</v>
      </c>
    </row>
    <row r="96" spans="1:6" x14ac:dyDescent="0.2">
      <c r="A96" s="11" t="s">
        <v>68</v>
      </c>
      <c r="B96" s="11">
        <f>_xlfn.XLOOKUP(C96,Players!B:B,Players!A:A)</f>
        <v>36</v>
      </c>
      <c r="C96" s="11" t="s">
        <v>21</v>
      </c>
      <c r="D96" s="11" t="s">
        <v>90</v>
      </c>
      <c r="E96" s="11">
        <v>1</v>
      </c>
      <c r="F96" s="11">
        <v>12</v>
      </c>
    </row>
    <row r="97" spans="1:6" x14ac:dyDescent="0.2">
      <c r="A97" s="11" t="s">
        <v>68</v>
      </c>
      <c r="B97" s="11">
        <f>_xlfn.XLOOKUP(C97,Players!B:B,Players!A:A)</f>
        <v>1</v>
      </c>
      <c r="C97" s="11" t="s">
        <v>30</v>
      </c>
      <c r="D97" s="11" t="s">
        <v>91</v>
      </c>
      <c r="E97" s="11">
        <v>2</v>
      </c>
      <c r="F97" s="11">
        <v>6</v>
      </c>
    </row>
    <row r="98" spans="1:6" x14ac:dyDescent="0.2">
      <c r="A98" s="11" t="s">
        <v>71</v>
      </c>
      <c r="B98" s="11">
        <f>_xlfn.XLOOKUP(C98,Players!B:B,Players!A:A)</f>
        <v>6</v>
      </c>
      <c r="C98" s="11" t="s">
        <v>22</v>
      </c>
      <c r="D98" s="11" t="s">
        <v>86</v>
      </c>
      <c r="E98" s="11">
        <v>1</v>
      </c>
      <c r="F98" s="11">
        <v>56</v>
      </c>
    </row>
    <row r="99" spans="1:6" x14ac:dyDescent="0.2">
      <c r="A99" s="11" t="s">
        <v>71</v>
      </c>
      <c r="B99" s="11">
        <f>_xlfn.XLOOKUP(C99,Players!B:B,Players!A:A)</f>
        <v>8</v>
      </c>
      <c r="C99" s="11" t="s">
        <v>44</v>
      </c>
      <c r="D99" s="11" t="s">
        <v>86</v>
      </c>
      <c r="E99" s="11">
        <v>1</v>
      </c>
      <c r="F99" s="11">
        <v>56</v>
      </c>
    </row>
    <row r="100" spans="1:6" x14ac:dyDescent="0.2">
      <c r="A100" s="11" t="s">
        <v>71</v>
      </c>
      <c r="B100" s="11">
        <f>_xlfn.XLOOKUP(C100,Players!B:B,Players!A:A)</f>
        <v>29</v>
      </c>
      <c r="C100" s="11" t="s">
        <v>20</v>
      </c>
      <c r="D100" s="11" t="s">
        <v>86</v>
      </c>
      <c r="E100" s="11">
        <v>3</v>
      </c>
      <c r="F100" s="11">
        <v>28</v>
      </c>
    </row>
    <row r="101" spans="1:6" x14ac:dyDescent="0.2">
      <c r="A101" s="11" t="s">
        <v>71</v>
      </c>
      <c r="B101" s="11">
        <f>_xlfn.XLOOKUP(C101,Players!B:B,Players!A:A)</f>
        <v>24</v>
      </c>
      <c r="C101" s="11" t="s">
        <v>31</v>
      </c>
      <c r="D101" s="11" t="s">
        <v>87</v>
      </c>
      <c r="E101" s="11">
        <v>1</v>
      </c>
      <c r="F101" s="11">
        <v>70</v>
      </c>
    </row>
    <row r="102" spans="1:6" x14ac:dyDescent="0.2">
      <c r="A102" s="11" t="s">
        <v>71</v>
      </c>
      <c r="B102" s="11">
        <f>_xlfn.XLOOKUP(C102,Players!B:B,Players!A:A)</f>
        <v>1</v>
      </c>
      <c r="C102" s="11" t="s">
        <v>30</v>
      </c>
      <c r="D102" s="11" t="s">
        <v>87</v>
      </c>
      <c r="E102" s="11">
        <v>2</v>
      </c>
      <c r="F102" s="11">
        <v>42</v>
      </c>
    </row>
    <row r="103" spans="1:6" x14ac:dyDescent="0.2">
      <c r="A103" s="11" t="s">
        <v>71</v>
      </c>
      <c r="B103" s="11">
        <f>_xlfn.XLOOKUP(C103,Players!B:B,Players!A:A)</f>
        <v>26</v>
      </c>
      <c r="C103" s="11" t="s">
        <v>19</v>
      </c>
      <c r="D103" s="11" t="s">
        <v>87</v>
      </c>
      <c r="E103" s="11">
        <v>3</v>
      </c>
      <c r="F103" s="11">
        <v>14</v>
      </c>
    </row>
    <row r="104" spans="1:6" x14ac:dyDescent="0.2">
      <c r="A104" s="11" t="s">
        <v>71</v>
      </c>
      <c r="B104" s="11">
        <f>_xlfn.XLOOKUP(C104,Players!B:B,Players!A:A)</f>
        <v>29</v>
      </c>
      <c r="C104" s="11" t="s">
        <v>20</v>
      </c>
      <c r="D104" s="11" t="s">
        <v>88</v>
      </c>
      <c r="E104" s="11">
        <v>1</v>
      </c>
      <c r="F104" s="11">
        <v>28</v>
      </c>
    </row>
    <row r="105" spans="1:6" x14ac:dyDescent="0.2">
      <c r="A105" s="11" t="s">
        <v>71</v>
      </c>
      <c r="B105" s="11">
        <f>_xlfn.XLOOKUP(C105,Players!B:B,Players!A:A)</f>
        <v>6</v>
      </c>
      <c r="C105" s="11" t="s">
        <v>22</v>
      </c>
      <c r="D105" s="11" t="s">
        <v>88</v>
      </c>
      <c r="E105" s="11">
        <v>2</v>
      </c>
      <c r="F105" s="11">
        <v>14</v>
      </c>
    </row>
    <row r="106" spans="1:6" x14ac:dyDescent="0.2">
      <c r="A106" s="11" t="s">
        <v>71</v>
      </c>
      <c r="B106" s="11">
        <f>_xlfn.XLOOKUP(C106,Players!B:B,Players!A:A)</f>
        <v>26</v>
      </c>
      <c r="C106" s="11" t="s">
        <v>19</v>
      </c>
      <c r="D106" s="11" t="s">
        <v>89</v>
      </c>
      <c r="E106" s="11">
        <v>1</v>
      </c>
      <c r="F106" s="11">
        <v>28</v>
      </c>
    </row>
    <row r="107" spans="1:6" x14ac:dyDescent="0.2">
      <c r="A107" s="11" t="s">
        <v>71</v>
      </c>
      <c r="B107" s="11">
        <f>_xlfn.XLOOKUP(C107,Players!B:B,Players!A:A)</f>
        <v>24</v>
      </c>
      <c r="C107" s="11" t="s">
        <v>31</v>
      </c>
      <c r="D107" s="11" t="s">
        <v>89</v>
      </c>
      <c r="E107" s="11">
        <v>2</v>
      </c>
      <c r="F107" s="11">
        <v>4.6500000000000004</v>
      </c>
    </row>
    <row r="108" spans="1:6" x14ac:dyDescent="0.2">
      <c r="A108" s="11" t="s">
        <v>71</v>
      </c>
      <c r="B108" s="11">
        <f>_xlfn.XLOOKUP(C108,Players!B:B,Players!A:A)</f>
        <v>8</v>
      </c>
      <c r="C108" s="11" t="s">
        <v>44</v>
      </c>
      <c r="D108" s="11" t="s">
        <v>90</v>
      </c>
      <c r="E108" s="11">
        <v>1</v>
      </c>
      <c r="F108" s="11">
        <v>28</v>
      </c>
    </row>
    <row r="109" spans="1:6" x14ac:dyDescent="0.2">
      <c r="A109" s="11" t="s">
        <v>71</v>
      </c>
      <c r="B109" s="11">
        <f>_xlfn.XLOOKUP(C109,Players!B:B,Players!A:A)</f>
        <v>6</v>
      </c>
      <c r="C109" s="11" t="s">
        <v>22</v>
      </c>
      <c r="D109" s="11" t="s">
        <v>90</v>
      </c>
      <c r="E109" s="11">
        <v>2</v>
      </c>
      <c r="F109" s="11">
        <v>7</v>
      </c>
    </row>
    <row r="110" spans="1:6" x14ac:dyDescent="0.2">
      <c r="A110" s="11" t="s">
        <v>71</v>
      </c>
      <c r="B110" s="11">
        <f>_xlfn.XLOOKUP(C110,Players!B:B,Players!A:A)</f>
        <v>24</v>
      </c>
      <c r="C110" s="11" t="s">
        <v>31</v>
      </c>
      <c r="D110" s="11" t="s">
        <v>91</v>
      </c>
      <c r="E110" s="11">
        <v>1</v>
      </c>
      <c r="F110" s="11">
        <v>28</v>
      </c>
    </row>
    <row r="111" spans="1:6" x14ac:dyDescent="0.2">
      <c r="A111" s="11" t="s">
        <v>71</v>
      </c>
      <c r="B111" s="11">
        <f>_xlfn.XLOOKUP(C111,Players!B:B,Players!A:A)</f>
        <v>1</v>
      </c>
      <c r="C111" s="11" t="s">
        <v>30</v>
      </c>
      <c r="D111" s="11" t="s">
        <v>91</v>
      </c>
      <c r="E111" s="11">
        <v>2</v>
      </c>
      <c r="F111" s="11">
        <v>14</v>
      </c>
    </row>
    <row r="112" spans="1:6" x14ac:dyDescent="0.2">
      <c r="A112" s="11" t="s">
        <v>71</v>
      </c>
      <c r="B112" s="11">
        <f>_xlfn.XLOOKUP(C112,Players!B:B,Players!A:A)</f>
        <v>1</v>
      </c>
      <c r="C112" s="11" t="s">
        <v>30</v>
      </c>
      <c r="D112" s="11" t="s">
        <v>92</v>
      </c>
      <c r="E112" s="11" t="s">
        <v>93</v>
      </c>
      <c r="F112" s="11">
        <v>28</v>
      </c>
    </row>
    <row r="113" spans="1:6" x14ac:dyDescent="0.2">
      <c r="A113" s="11" t="s">
        <v>71</v>
      </c>
      <c r="B113" s="11">
        <f>_xlfn.XLOOKUP(C113,Players!B:B,Players!A:A)</f>
        <v>32</v>
      </c>
      <c r="C113" s="11" t="s">
        <v>53</v>
      </c>
      <c r="D113" s="11" t="s">
        <v>94</v>
      </c>
      <c r="E113" s="11" t="s">
        <v>93</v>
      </c>
      <c r="F113" s="11">
        <v>28</v>
      </c>
    </row>
    <row r="114" spans="1:6" x14ac:dyDescent="0.2">
      <c r="A114" s="11" t="s">
        <v>71</v>
      </c>
      <c r="B114" s="11">
        <f>_xlfn.XLOOKUP(C114,Players!B:B,Players!A:A)</f>
        <v>24</v>
      </c>
      <c r="C114" s="11" t="s">
        <v>31</v>
      </c>
      <c r="D114" s="11" t="s">
        <v>95</v>
      </c>
      <c r="E114" s="11" t="s">
        <v>93</v>
      </c>
      <c r="F114" s="11">
        <v>28</v>
      </c>
    </row>
    <row r="115" spans="1:6" x14ac:dyDescent="0.2">
      <c r="A115" s="11" t="s">
        <v>71</v>
      </c>
      <c r="B115" s="11">
        <f>_xlfn.XLOOKUP(C115,Players!B:B,Players!A:A)</f>
        <v>20</v>
      </c>
      <c r="C115" s="11" t="s">
        <v>18</v>
      </c>
      <c r="D115" s="11" t="s">
        <v>96</v>
      </c>
      <c r="E115" s="11" t="s">
        <v>93</v>
      </c>
      <c r="F115" s="11">
        <v>35</v>
      </c>
    </row>
    <row r="116" spans="1:6" x14ac:dyDescent="0.2">
      <c r="A116" s="11" t="s">
        <v>71</v>
      </c>
      <c r="B116" s="11">
        <f>_xlfn.XLOOKUP(C116,Players!B:B,Players!A:A)</f>
        <v>26</v>
      </c>
      <c r="C116" s="11" t="s">
        <v>19</v>
      </c>
      <c r="D116" s="11" t="s">
        <v>96</v>
      </c>
      <c r="E116" s="11" t="s">
        <v>93</v>
      </c>
      <c r="F116" s="11">
        <v>35</v>
      </c>
    </row>
    <row r="117" spans="1:6" x14ac:dyDescent="0.2">
      <c r="A117" s="11" t="s">
        <v>71</v>
      </c>
      <c r="B117" s="11">
        <f>_xlfn.XLOOKUP(C117,Players!B:B,Players!A:A)</f>
        <v>8</v>
      </c>
      <c r="C117" s="11" t="s">
        <v>44</v>
      </c>
      <c r="D117" s="11" t="s">
        <v>96</v>
      </c>
      <c r="E117" s="11" t="s">
        <v>93</v>
      </c>
      <c r="F117" s="11">
        <v>35</v>
      </c>
    </row>
    <row r="118" spans="1:6" x14ac:dyDescent="0.2">
      <c r="A118" s="11" t="s">
        <v>71</v>
      </c>
      <c r="B118" s="11">
        <f>_xlfn.XLOOKUP(C118,Players!B:B,Players!A:A)</f>
        <v>2</v>
      </c>
      <c r="C118" s="11" t="s">
        <v>41</v>
      </c>
      <c r="D118" s="11" t="s">
        <v>96</v>
      </c>
      <c r="E118" s="11" t="s">
        <v>93</v>
      </c>
      <c r="F118" s="11">
        <v>35</v>
      </c>
    </row>
    <row r="119" spans="1:6" x14ac:dyDescent="0.2">
      <c r="A119" s="11" t="s">
        <v>71</v>
      </c>
      <c r="B119" s="11">
        <f>_xlfn.XLOOKUP(C119,Players!B:B,Players!A:A)</f>
        <v>28</v>
      </c>
      <c r="C119" s="11" t="s">
        <v>35</v>
      </c>
      <c r="D119" s="11" t="s">
        <v>87</v>
      </c>
      <c r="E119" s="11">
        <v>3</v>
      </c>
      <c r="F119" s="11">
        <v>14</v>
      </c>
    </row>
    <row r="120" spans="1:6" x14ac:dyDescent="0.2">
      <c r="A120" s="11" t="s">
        <v>71</v>
      </c>
      <c r="B120" s="11">
        <f>_xlfn.XLOOKUP(C120,Players!B:B,Players!A:A)</f>
        <v>1</v>
      </c>
      <c r="C120" s="11" t="s">
        <v>30</v>
      </c>
      <c r="D120" s="11" t="s">
        <v>89</v>
      </c>
      <c r="E120" s="11">
        <v>2</v>
      </c>
      <c r="F120" s="11">
        <v>4.6500000000000004</v>
      </c>
    </row>
    <row r="121" spans="1:6" x14ac:dyDescent="0.2">
      <c r="A121" s="11" t="s">
        <v>71</v>
      </c>
      <c r="B121" s="11">
        <f>_xlfn.XLOOKUP(C121,Players!B:B,Players!A:A)</f>
        <v>28</v>
      </c>
      <c r="C121" s="11" t="s">
        <v>35</v>
      </c>
      <c r="D121" s="11" t="s">
        <v>89</v>
      </c>
      <c r="E121" s="11">
        <v>2</v>
      </c>
      <c r="F121" s="11">
        <v>4.6500000000000004</v>
      </c>
    </row>
    <row r="122" spans="1:6" x14ac:dyDescent="0.2">
      <c r="A122" s="11" t="s">
        <v>71</v>
      </c>
      <c r="B122" s="11">
        <f>_xlfn.XLOOKUP(C122,Players!B:B,Players!A:A)</f>
        <v>27</v>
      </c>
      <c r="C122" s="11" t="s">
        <v>51</v>
      </c>
      <c r="D122" s="11" t="s">
        <v>90</v>
      </c>
      <c r="E122" s="11">
        <v>2</v>
      </c>
      <c r="F122" s="11">
        <v>7</v>
      </c>
    </row>
  </sheetData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3CA7E-3717-814A-BF66-62A12120D4EC}">
  <dimension ref="A1:F57"/>
  <sheetViews>
    <sheetView workbookViewId="0">
      <selection activeCell="A29" sqref="A1:XFD1048576"/>
    </sheetView>
  </sheetViews>
  <sheetFormatPr baseColWidth="10" defaultRowHeight="16" x14ac:dyDescent="0.2"/>
  <cols>
    <col min="4" max="4" width="12.6640625" bestFit="1" customWidth="1"/>
  </cols>
  <sheetData>
    <row r="1" spans="1:6" ht="35" thickBot="1" x14ac:dyDescent="0.25">
      <c r="A1" s="13" t="s">
        <v>0</v>
      </c>
      <c r="B1" s="13" t="s">
        <v>1</v>
      </c>
      <c r="C1" s="13" t="s">
        <v>2</v>
      </c>
      <c r="D1" s="13" t="s">
        <v>83</v>
      </c>
      <c r="E1" s="14" t="s">
        <v>97</v>
      </c>
      <c r="F1" s="13" t="s">
        <v>85</v>
      </c>
    </row>
    <row r="2" spans="1:6" x14ac:dyDescent="0.2">
      <c r="A2" t="s">
        <v>10</v>
      </c>
      <c r="B2">
        <f>_xlfn.XLOOKUP(C2,Players!B:B,Players!A:A)</f>
        <v>15</v>
      </c>
      <c r="C2" s="15" t="s">
        <v>11</v>
      </c>
      <c r="D2" t="s">
        <v>98</v>
      </c>
      <c r="E2" s="1">
        <v>9</v>
      </c>
      <c r="F2">
        <v>126</v>
      </c>
    </row>
    <row r="3" spans="1:6" x14ac:dyDescent="0.2">
      <c r="A3" t="s">
        <v>10</v>
      </c>
      <c r="B3">
        <f>_xlfn.XLOOKUP(C3,Players!B:B,Players!A:A)</f>
        <v>13</v>
      </c>
      <c r="C3" s="15" t="s">
        <v>14</v>
      </c>
      <c r="D3" t="s">
        <v>98</v>
      </c>
      <c r="E3" s="1">
        <v>3</v>
      </c>
      <c r="F3">
        <v>42</v>
      </c>
    </row>
    <row r="4" spans="1:6" x14ac:dyDescent="0.2">
      <c r="A4" t="s">
        <v>10</v>
      </c>
      <c r="B4">
        <f>_xlfn.XLOOKUP(C4,Players!B:B,Players!A:A)</f>
        <v>20</v>
      </c>
      <c r="C4" s="15" t="s">
        <v>18</v>
      </c>
      <c r="D4" t="s">
        <v>98</v>
      </c>
      <c r="E4" s="1">
        <v>3</v>
      </c>
      <c r="F4">
        <v>42</v>
      </c>
    </row>
    <row r="5" spans="1:6" x14ac:dyDescent="0.2">
      <c r="A5" t="s">
        <v>10</v>
      </c>
      <c r="B5">
        <f>_xlfn.XLOOKUP(C5,Players!B:B,Players!A:A)</f>
        <v>44</v>
      </c>
      <c r="C5" s="15" t="s">
        <v>23</v>
      </c>
      <c r="D5" t="s">
        <v>98</v>
      </c>
      <c r="E5" s="1">
        <v>3</v>
      </c>
      <c r="F5">
        <v>42</v>
      </c>
    </row>
    <row r="6" spans="1:6" x14ac:dyDescent="0.2">
      <c r="A6" t="s">
        <v>10</v>
      </c>
      <c r="B6">
        <f>_xlfn.XLOOKUP(C6,Players!B:B,Players!A:A)</f>
        <v>14</v>
      </c>
      <c r="C6" s="15" t="s">
        <v>26</v>
      </c>
      <c r="D6" t="s">
        <v>99</v>
      </c>
      <c r="E6" s="1">
        <v>6</v>
      </c>
      <c r="F6">
        <v>78</v>
      </c>
    </row>
    <row r="7" spans="1:6" x14ac:dyDescent="0.2">
      <c r="A7" t="s">
        <v>10</v>
      </c>
      <c r="B7">
        <f>_xlfn.XLOOKUP(C7,Players!B:B,Players!A:A)</f>
        <v>10</v>
      </c>
      <c r="C7" s="15" t="s">
        <v>28</v>
      </c>
      <c r="D7" t="s">
        <v>99</v>
      </c>
      <c r="E7" s="1">
        <v>3</v>
      </c>
      <c r="F7">
        <v>39</v>
      </c>
    </row>
    <row r="8" spans="1:6" x14ac:dyDescent="0.2">
      <c r="A8" t="s">
        <v>10</v>
      </c>
      <c r="B8">
        <f>_xlfn.XLOOKUP(C8,Players!B:B,Players!A:A)</f>
        <v>25</v>
      </c>
      <c r="C8" s="15" t="s">
        <v>38</v>
      </c>
      <c r="D8" t="s">
        <v>99</v>
      </c>
      <c r="E8" s="1">
        <v>3</v>
      </c>
      <c r="F8">
        <v>39</v>
      </c>
    </row>
    <row r="9" spans="1:6" x14ac:dyDescent="0.2">
      <c r="A9" t="s">
        <v>10</v>
      </c>
      <c r="B9">
        <f>_xlfn.XLOOKUP(C9,Players!B:B,Players!A:A)</f>
        <v>43</v>
      </c>
      <c r="C9" s="15" t="s">
        <v>29</v>
      </c>
      <c r="D9" t="s">
        <v>99</v>
      </c>
      <c r="E9" s="1">
        <v>2</v>
      </c>
      <c r="F9">
        <v>26</v>
      </c>
    </row>
    <row r="10" spans="1:6" x14ac:dyDescent="0.2">
      <c r="A10" t="s">
        <v>10</v>
      </c>
      <c r="B10">
        <f>_xlfn.XLOOKUP(C10,Players!B:B,Players!A:A)</f>
        <v>28</v>
      </c>
      <c r="C10" s="15" t="s">
        <v>35</v>
      </c>
      <c r="D10" t="s">
        <v>99</v>
      </c>
      <c r="E10" s="1">
        <v>2</v>
      </c>
      <c r="F10">
        <v>26</v>
      </c>
    </row>
    <row r="11" spans="1:6" x14ac:dyDescent="0.2">
      <c r="A11" t="s">
        <v>10</v>
      </c>
      <c r="B11">
        <f>_xlfn.XLOOKUP(C11,Players!B:B,Players!A:A)</f>
        <v>1</v>
      </c>
      <c r="C11" s="15" t="s">
        <v>30</v>
      </c>
      <c r="D11" t="s">
        <v>99</v>
      </c>
      <c r="E11" s="1">
        <v>1</v>
      </c>
      <c r="F11">
        <v>13</v>
      </c>
    </row>
    <row r="12" spans="1:6" x14ac:dyDescent="0.2">
      <c r="A12" t="s">
        <v>10</v>
      </c>
      <c r="B12">
        <f>_xlfn.XLOOKUP(C12,Players!B:B,Players!A:A)</f>
        <v>9</v>
      </c>
      <c r="C12" s="16" t="s">
        <v>37</v>
      </c>
      <c r="D12" t="s">
        <v>99</v>
      </c>
      <c r="E12" s="1">
        <v>1</v>
      </c>
      <c r="F12">
        <v>13</v>
      </c>
    </row>
    <row r="13" spans="1:6" x14ac:dyDescent="0.2">
      <c r="A13" t="s">
        <v>74</v>
      </c>
      <c r="B13">
        <f>_xlfn.XLOOKUP(C13,Players!B:B,Players!A:A)</f>
        <v>34</v>
      </c>
      <c r="C13" s="17" t="s">
        <v>25</v>
      </c>
      <c r="D13" t="s">
        <v>98</v>
      </c>
      <c r="E13" s="1">
        <v>2</v>
      </c>
      <c r="F13">
        <v>36</v>
      </c>
    </row>
    <row r="14" spans="1:6" x14ac:dyDescent="0.2">
      <c r="A14" t="s">
        <v>74</v>
      </c>
      <c r="B14">
        <f>_xlfn.XLOOKUP(C14,Players!B:B,Players!A:A)</f>
        <v>29</v>
      </c>
      <c r="C14" s="17" t="s">
        <v>20</v>
      </c>
      <c r="D14" t="s">
        <v>98</v>
      </c>
      <c r="E14" s="1">
        <v>16</v>
      </c>
      <c r="F14">
        <v>288</v>
      </c>
    </row>
    <row r="15" spans="1:6" x14ac:dyDescent="0.2">
      <c r="A15" t="s">
        <v>74</v>
      </c>
      <c r="B15">
        <f>_xlfn.XLOOKUP(C15,Players!B:B,Players!A:A)</f>
        <v>28</v>
      </c>
      <c r="C15" s="17" t="s">
        <v>35</v>
      </c>
      <c r="D15" t="s">
        <v>99</v>
      </c>
      <c r="E15" s="1">
        <v>1</v>
      </c>
      <c r="F15">
        <v>18</v>
      </c>
    </row>
    <row r="16" spans="1:6" x14ac:dyDescent="0.2">
      <c r="A16" t="s">
        <v>74</v>
      </c>
      <c r="B16">
        <f>_xlfn.XLOOKUP(C16,Players!B:B,Players!A:A)</f>
        <v>10</v>
      </c>
      <c r="C16" s="17" t="s">
        <v>28</v>
      </c>
      <c r="D16" t="s">
        <v>99</v>
      </c>
      <c r="E16" s="1">
        <v>2</v>
      </c>
      <c r="F16">
        <v>36</v>
      </c>
    </row>
    <row r="17" spans="1:6" x14ac:dyDescent="0.2">
      <c r="A17" t="s">
        <v>74</v>
      </c>
      <c r="B17">
        <f>_xlfn.XLOOKUP(C17,Players!B:B,Players!A:A)</f>
        <v>30</v>
      </c>
      <c r="C17" s="17" t="s">
        <v>36</v>
      </c>
      <c r="D17" t="s">
        <v>99</v>
      </c>
      <c r="E17" s="1">
        <v>3</v>
      </c>
      <c r="F17">
        <v>54</v>
      </c>
    </row>
    <row r="18" spans="1:6" x14ac:dyDescent="0.2">
      <c r="A18" t="s">
        <v>74</v>
      </c>
      <c r="B18">
        <f>_xlfn.XLOOKUP(C18,Players!B:B,Players!A:A)</f>
        <v>19</v>
      </c>
      <c r="C18" s="17" t="s">
        <v>34</v>
      </c>
      <c r="D18" t="s">
        <v>99</v>
      </c>
      <c r="E18" s="1">
        <v>4</v>
      </c>
      <c r="F18">
        <v>72</v>
      </c>
    </row>
    <row r="19" spans="1:6" x14ac:dyDescent="0.2">
      <c r="A19" t="s">
        <v>74</v>
      </c>
      <c r="B19">
        <f>_xlfn.XLOOKUP(C19,Players!B:B,Players!A:A)</f>
        <v>25</v>
      </c>
      <c r="C19" s="17" t="s">
        <v>38</v>
      </c>
      <c r="D19" t="s">
        <v>99</v>
      </c>
      <c r="E19" s="1">
        <v>4</v>
      </c>
      <c r="F19">
        <v>72</v>
      </c>
    </row>
    <row r="20" spans="1:6" x14ac:dyDescent="0.2">
      <c r="A20" t="s">
        <v>74</v>
      </c>
      <c r="B20">
        <f>_xlfn.XLOOKUP(C20,Players!B:B,Players!A:A)</f>
        <v>2</v>
      </c>
      <c r="C20" s="17" t="s">
        <v>41</v>
      </c>
      <c r="D20" t="s">
        <v>99</v>
      </c>
      <c r="E20" s="1">
        <v>4</v>
      </c>
      <c r="F20">
        <v>72</v>
      </c>
    </row>
    <row r="21" spans="1:6" x14ac:dyDescent="0.2">
      <c r="A21" t="s">
        <v>66</v>
      </c>
      <c r="B21">
        <f>_xlfn.XLOOKUP(C21,Players!B:B,Players!A:A)</f>
        <v>3</v>
      </c>
      <c r="C21" s="17" t="s">
        <v>42</v>
      </c>
      <c r="D21" t="s">
        <v>98</v>
      </c>
      <c r="E21" s="1">
        <v>2</v>
      </c>
      <c r="F21">
        <v>38</v>
      </c>
    </row>
    <row r="22" spans="1:6" x14ac:dyDescent="0.2">
      <c r="A22" t="s">
        <v>66</v>
      </c>
      <c r="B22">
        <f>_xlfn.XLOOKUP(C22,Players!B:B,Players!A:A)</f>
        <v>36</v>
      </c>
      <c r="C22" s="17" t="s">
        <v>21</v>
      </c>
      <c r="D22" t="s">
        <v>98</v>
      </c>
      <c r="E22" s="1">
        <v>5</v>
      </c>
      <c r="F22">
        <v>95</v>
      </c>
    </row>
    <row r="23" spans="1:6" x14ac:dyDescent="0.2">
      <c r="A23" t="s">
        <v>66</v>
      </c>
      <c r="B23">
        <f>_xlfn.XLOOKUP(C23,Players!B:B,Players!A:A)</f>
        <v>32</v>
      </c>
      <c r="C23" s="17" t="s">
        <v>53</v>
      </c>
      <c r="D23" t="s">
        <v>98</v>
      </c>
      <c r="E23" s="1">
        <v>3</v>
      </c>
      <c r="F23">
        <v>57</v>
      </c>
    </row>
    <row r="24" spans="1:6" x14ac:dyDescent="0.2">
      <c r="A24" t="s">
        <v>66</v>
      </c>
      <c r="B24">
        <f>_xlfn.XLOOKUP(C24,Players!B:B,Players!A:A)</f>
        <v>12</v>
      </c>
      <c r="C24" s="17" t="s">
        <v>46</v>
      </c>
      <c r="D24" t="s">
        <v>98</v>
      </c>
      <c r="E24" s="1">
        <v>4</v>
      </c>
      <c r="F24">
        <v>76</v>
      </c>
    </row>
    <row r="25" spans="1:6" x14ac:dyDescent="0.2">
      <c r="A25" t="s">
        <v>66</v>
      </c>
      <c r="B25">
        <f>_xlfn.XLOOKUP(C25,Players!B:B,Players!A:A)</f>
        <v>6</v>
      </c>
      <c r="C25" s="17" t="s">
        <v>22</v>
      </c>
      <c r="D25" t="s">
        <v>98</v>
      </c>
      <c r="E25" s="1">
        <v>4</v>
      </c>
      <c r="F25">
        <v>76</v>
      </c>
    </row>
    <row r="26" spans="1:6" x14ac:dyDescent="0.2">
      <c r="A26" t="s">
        <v>66</v>
      </c>
      <c r="B26">
        <f>_xlfn.XLOOKUP(C26,Players!B:B,Players!A:A)</f>
        <v>13</v>
      </c>
      <c r="C26" s="17" t="s">
        <v>14</v>
      </c>
      <c r="D26" t="s">
        <v>99</v>
      </c>
      <c r="E26" s="1">
        <v>1</v>
      </c>
      <c r="F26">
        <v>19</v>
      </c>
    </row>
    <row r="27" spans="1:6" x14ac:dyDescent="0.2">
      <c r="A27" t="s">
        <v>66</v>
      </c>
      <c r="B27">
        <f>_xlfn.XLOOKUP(C27,Players!B:B,Players!A:A)</f>
        <v>33</v>
      </c>
      <c r="C27" s="17" t="s">
        <v>54</v>
      </c>
      <c r="D27" t="s">
        <v>99</v>
      </c>
      <c r="E27" s="1">
        <v>1</v>
      </c>
      <c r="F27">
        <v>19</v>
      </c>
    </row>
    <row r="28" spans="1:6" x14ac:dyDescent="0.2">
      <c r="A28" t="s">
        <v>66</v>
      </c>
      <c r="B28">
        <f>_xlfn.XLOOKUP(C28,Players!B:B,Players!A:A)</f>
        <v>22</v>
      </c>
      <c r="C28" s="17" t="s">
        <v>49</v>
      </c>
      <c r="D28" t="s">
        <v>99</v>
      </c>
      <c r="E28" s="1">
        <v>2</v>
      </c>
      <c r="F28">
        <v>38</v>
      </c>
    </row>
    <row r="29" spans="1:6" x14ac:dyDescent="0.2">
      <c r="A29" t="s">
        <v>66</v>
      </c>
      <c r="B29">
        <f>_xlfn.XLOOKUP(C29,Players!B:B,Players!A:A)</f>
        <v>23</v>
      </c>
      <c r="C29" s="17" t="s">
        <v>50</v>
      </c>
      <c r="D29" t="s">
        <v>99</v>
      </c>
      <c r="E29" s="1">
        <v>3</v>
      </c>
      <c r="F29">
        <v>57</v>
      </c>
    </row>
    <row r="30" spans="1:6" x14ac:dyDescent="0.2">
      <c r="A30" t="s">
        <v>66</v>
      </c>
      <c r="B30">
        <f>_xlfn.XLOOKUP(C30,Players!B:B,Players!A:A)</f>
        <v>19</v>
      </c>
      <c r="C30" s="17" t="s">
        <v>34</v>
      </c>
      <c r="D30" t="s">
        <v>99</v>
      </c>
      <c r="E30" s="1">
        <v>2</v>
      </c>
      <c r="F30">
        <v>38</v>
      </c>
    </row>
    <row r="31" spans="1:6" x14ac:dyDescent="0.2">
      <c r="A31" t="s">
        <v>66</v>
      </c>
      <c r="B31">
        <f>_xlfn.XLOOKUP(C31,Players!B:B,Players!A:A)</f>
        <v>26</v>
      </c>
      <c r="C31" s="17" t="s">
        <v>19</v>
      </c>
      <c r="D31" t="s">
        <v>99</v>
      </c>
      <c r="E31" s="1">
        <v>4</v>
      </c>
      <c r="F31">
        <v>76</v>
      </c>
    </row>
    <row r="32" spans="1:6" x14ac:dyDescent="0.2">
      <c r="A32" t="s">
        <v>66</v>
      </c>
      <c r="B32">
        <f>_xlfn.XLOOKUP(C32,Players!B:B,Players!A:A)</f>
        <v>28</v>
      </c>
      <c r="C32" s="17" t="s">
        <v>35</v>
      </c>
      <c r="D32" t="s">
        <v>99</v>
      </c>
      <c r="E32" s="1">
        <v>5</v>
      </c>
      <c r="F32">
        <v>95</v>
      </c>
    </row>
    <row r="33" spans="1:6" x14ac:dyDescent="0.2">
      <c r="A33" t="s">
        <v>68</v>
      </c>
      <c r="B33">
        <f>_xlfn.XLOOKUP(C33,Players!B:B,Players!A:A)</f>
        <v>32</v>
      </c>
      <c r="C33" s="17" t="s">
        <v>53</v>
      </c>
      <c r="D33" t="s">
        <v>98</v>
      </c>
      <c r="E33" s="1">
        <v>1</v>
      </c>
      <c r="F33">
        <v>12</v>
      </c>
    </row>
    <row r="34" spans="1:6" x14ac:dyDescent="0.2">
      <c r="A34" t="s">
        <v>68</v>
      </c>
      <c r="B34">
        <f>_xlfn.XLOOKUP(C34,Players!B:B,Players!A:A)</f>
        <v>6</v>
      </c>
      <c r="C34" s="17" t="s">
        <v>22</v>
      </c>
      <c r="D34" t="s">
        <v>98</v>
      </c>
      <c r="E34" s="1">
        <v>2</v>
      </c>
      <c r="F34">
        <v>24</v>
      </c>
    </row>
    <row r="35" spans="1:6" x14ac:dyDescent="0.2">
      <c r="A35" t="s">
        <v>68</v>
      </c>
      <c r="B35">
        <f>_xlfn.XLOOKUP(C35,Players!B:B,Players!A:A)</f>
        <v>5</v>
      </c>
      <c r="C35" s="5" t="s">
        <v>43</v>
      </c>
      <c r="D35" t="s">
        <v>98</v>
      </c>
      <c r="E35" s="1">
        <v>3</v>
      </c>
      <c r="F35">
        <v>36</v>
      </c>
    </row>
    <row r="36" spans="1:6" x14ac:dyDescent="0.2">
      <c r="A36" t="s">
        <v>68</v>
      </c>
      <c r="B36">
        <f>_xlfn.XLOOKUP(C36,Players!B:B,Players!A:A)</f>
        <v>34</v>
      </c>
      <c r="C36" s="17" t="s">
        <v>25</v>
      </c>
      <c r="D36" t="s">
        <v>98</v>
      </c>
      <c r="E36" s="1">
        <v>3</v>
      </c>
      <c r="F36">
        <v>36</v>
      </c>
    </row>
    <row r="37" spans="1:6" x14ac:dyDescent="0.2">
      <c r="A37" t="s">
        <v>68</v>
      </c>
      <c r="B37">
        <f>_xlfn.XLOOKUP(C37,Players!B:B,Players!A:A)</f>
        <v>20</v>
      </c>
      <c r="C37" s="17" t="s">
        <v>18</v>
      </c>
      <c r="D37" t="s">
        <v>98</v>
      </c>
      <c r="E37" s="1">
        <v>9</v>
      </c>
      <c r="F37">
        <v>108</v>
      </c>
    </row>
    <row r="38" spans="1:6" x14ac:dyDescent="0.2">
      <c r="A38" t="s">
        <v>68</v>
      </c>
      <c r="B38">
        <f>_xlfn.XLOOKUP(C38,Players!B:B,Players!A:A)</f>
        <v>25</v>
      </c>
      <c r="C38" s="17" t="s">
        <v>38</v>
      </c>
      <c r="D38" t="s">
        <v>99</v>
      </c>
      <c r="E38" s="1">
        <v>1</v>
      </c>
      <c r="F38">
        <v>12</v>
      </c>
    </row>
    <row r="39" spans="1:6" x14ac:dyDescent="0.2">
      <c r="A39" t="s">
        <v>68</v>
      </c>
      <c r="B39">
        <f>_xlfn.XLOOKUP(C39,Players!B:B,Players!A:A)</f>
        <v>18</v>
      </c>
      <c r="C39" s="17" t="s">
        <v>33</v>
      </c>
      <c r="D39" t="s">
        <v>99</v>
      </c>
      <c r="E39" s="1">
        <v>1</v>
      </c>
      <c r="F39">
        <v>12</v>
      </c>
    </row>
    <row r="40" spans="1:6" x14ac:dyDescent="0.2">
      <c r="A40" t="s">
        <v>68</v>
      </c>
      <c r="B40">
        <f>_xlfn.XLOOKUP(C40,Players!B:B,Players!A:A)</f>
        <v>19</v>
      </c>
      <c r="C40" s="17" t="s">
        <v>34</v>
      </c>
      <c r="D40" t="s">
        <v>99</v>
      </c>
      <c r="E40" s="1">
        <v>1</v>
      </c>
      <c r="F40">
        <v>12</v>
      </c>
    </row>
    <row r="41" spans="1:6" x14ac:dyDescent="0.2">
      <c r="A41" t="s">
        <v>68</v>
      </c>
      <c r="B41">
        <f>_xlfn.XLOOKUP(C41,Players!B:B,Players!A:A)</f>
        <v>26</v>
      </c>
      <c r="C41" s="17" t="s">
        <v>19</v>
      </c>
      <c r="D41" t="s">
        <v>99</v>
      </c>
      <c r="E41" s="1">
        <v>2</v>
      </c>
      <c r="F41">
        <v>24</v>
      </c>
    </row>
    <row r="42" spans="1:6" x14ac:dyDescent="0.2">
      <c r="A42" t="s">
        <v>68</v>
      </c>
      <c r="B42">
        <f>_xlfn.XLOOKUP(C42,Players!B:B,Players!A:A)</f>
        <v>28</v>
      </c>
      <c r="C42" s="17" t="s">
        <v>35</v>
      </c>
      <c r="D42" t="s">
        <v>99</v>
      </c>
      <c r="E42" s="1">
        <v>3</v>
      </c>
      <c r="F42">
        <v>36</v>
      </c>
    </row>
    <row r="43" spans="1:6" x14ac:dyDescent="0.2">
      <c r="A43" t="s">
        <v>68</v>
      </c>
      <c r="B43">
        <f>_xlfn.XLOOKUP(C43,Players!B:B,Players!A:A)</f>
        <v>9</v>
      </c>
      <c r="C43" s="17" t="s">
        <v>37</v>
      </c>
      <c r="D43" t="s">
        <v>99</v>
      </c>
      <c r="E43" s="1">
        <v>3</v>
      </c>
      <c r="F43">
        <v>36</v>
      </c>
    </row>
    <row r="44" spans="1:6" x14ac:dyDescent="0.2">
      <c r="A44" t="s">
        <v>68</v>
      </c>
      <c r="B44">
        <f>_xlfn.XLOOKUP(C44,Players!B:B,Players!A:A)</f>
        <v>10</v>
      </c>
      <c r="C44" s="17" t="s">
        <v>28</v>
      </c>
      <c r="D44" t="s">
        <v>99</v>
      </c>
      <c r="E44" s="1">
        <v>7</v>
      </c>
      <c r="F44">
        <v>84</v>
      </c>
    </row>
    <row r="45" spans="1:6" x14ac:dyDescent="0.2">
      <c r="A45" t="s">
        <v>71</v>
      </c>
      <c r="B45">
        <f>_xlfn.XLOOKUP(C45,Players!B:B,Players!A:A)</f>
        <v>34</v>
      </c>
      <c r="C45" s="17" t="s">
        <v>25</v>
      </c>
      <c r="D45" t="s">
        <v>98</v>
      </c>
      <c r="E45" s="1">
        <v>2</v>
      </c>
      <c r="F45">
        <v>28</v>
      </c>
    </row>
    <row r="46" spans="1:6" x14ac:dyDescent="0.2">
      <c r="A46" t="s">
        <v>71</v>
      </c>
      <c r="B46">
        <f>_xlfn.XLOOKUP(C46,Players!B:B,Players!A:A)</f>
        <v>29</v>
      </c>
      <c r="C46" s="17" t="s">
        <v>20</v>
      </c>
      <c r="D46" t="s">
        <v>98</v>
      </c>
      <c r="E46" s="1">
        <v>2</v>
      </c>
      <c r="F46">
        <v>28</v>
      </c>
    </row>
    <row r="47" spans="1:6" x14ac:dyDescent="0.2">
      <c r="A47" t="s">
        <v>71</v>
      </c>
      <c r="B47">
        <f>_xlfn.XLOOKUP(C47,Players!B:B,Players!A:A)</f>
        <v>15</v>
      </c>
      <c r="C47" s="17" t="s">
        <v>11</v>
      </c>
      <c r="D47" t="s">
        <v>98</v>
      </c>
      <c r="E47" s="1">
        <v>3</v>
      </c>
      <c r="F47">
        <v>42</v>
      </c>
    </row>
    <row r="48" spans="1:6" x14ac:dyDescent="0.2">
      <c r="A48" t="s">
        <v>71</v>
      </c>
      <c r="B48">
        <f>_xlfn.XLOOKUP(C48,Players!B:B,Players!A:A)</f>
        <v>8</v>
      </c>
      <c r="C48" s="17" t="s">
        <v>44</v>
      </c>
      <c r="D48" t="s">
        <v>98</v>
      </c>
      <c r="E48" s="1">
        <v>3</v>
      </c>
      <c r="F48">
        <v>42</v>
      </c>
    </row>
    <row r="49" spans="1:6" x14ac:dyDescent="0.2">
      <c r="A49" t="s">
        <v>71</v>
      </c>
      <c r="B49">
        <f>_xlfn.XLOOKUP(C49,Players!B:B,Players!A:A)</f>
        <v>27</v>
      </c>
      <c r="C49" s="17" t="s">
        <v>51</v>
      </c>
      <c r="D49" t="s">
        <v>98</v>
      </c>
      <c r="E49" s="1">
        <v>3</v>
      </c>
      <c r="F49">
        <v>42</v>
      </c>
    </row>
    <row r="50" spans="1:6" x14ac:dyDescent="0.2">
      <c r="A50" t="s">
        <v>71</v>
      </c>
      <c r="B50">
        <f>_xlfn.XLOOKUP(C50,Players!B:B,Players!A:A)</f>
        <v>6</v>
      </c>
      <c r="C50" s="17" t="s">
        <v>22</v>
      </c>
      <c r="D50" t="s">
        <v>98</v>
      </c>
      <c r="E50" s="1">
        <v>5</v>
      </c>
      <c r="F50">
        <v>70</v>
      </c>
    </row>
    <row r="51" spans="1:6" x14ac:dyDescent="0.2">
      <c r="A51" t="s">
        <v>71</v>
      </c>
      <c r="B51">
        <f>_xlfn.XLOOKUP(C51,Players!B:B,Players!A:A)</f>
        <v>35</v>
      </c>
      <c r="C51" s="17" t="s">
        <v>15</v>
      </c>
      <c r="D51" t="s">
        <v>99</v>
      </c>
      <c r="E51" s="1">
        <v>1</v>
      </c>
      <c r="F51">
        <v>14</v>
      </c>
    </row>
    <row r="52" spans="1:6" x14ac:dyDescent="0.2">
      <c r="A52" t="s">
        <v>71</v>
      </c>
      <c r="B52">
        <f>_xlfn.XLOOKUP(C52,Players!B:B,Players!A:A)</f>
        <v>2</v>
      </c>
      <c r="C52" s="17" t="s">
        <v>41</v>
      </c>
      <c r="D52" t="s">
        <v>99</v>
      </c>
      <c r="E52" s="1">
        <v>1</v>
      </c>
      <c r="F52">
        <v>14</v>
      </c>
    </row>
    <row r="53" spans="1:6" x14ac:dyDescent="0.2">
      <c r="A53" t="s">
        <v>71</v>
      </c>
      <c r="B53">
        <f>_xlfn.XLOOKUP(C53,Players!B:B,Players!A:A)</f>
        <v>19</v>
      </c>
      <c r="C53" s="17" t="s">
        <v>34</v>
      </c>
      <c r="D53" t="s">
        <v>99</v>
      </c>
      <c r="E53" s="1">
        <v>1</v>
      </c>
      <c r="F53">
        <v>14</v>
      </c>
    </row>
    <row r="54" spans="1:6" x14ac:dyDescent="0.2">
      <c r="A54" t="s">
        <v>71</v>
      </c>
      <c r="B54">
        <f>_xlfn.XLOOKUP(C54,Players!B:B,Players!A:A)</f>
        <v>26</v>
      </c>
      <c r="C54" s="17" t="s">
        <v>19</v>
      </c>
      <c r="D54" t="s">
        <v>99</v>
      </c>
      <c r="E54" s="1">
        <v>2</v>
      </c>
      <c r="F54">
        <v>28</v>
      </c>
    </row>
    <row r="55" spans="1:6" x14ac:dyDescent="0.2">
      <c r="A55" t="s">
        <v>71</v>
      </c>
      <c r="B55">
        <f>_xlfn.XLOOKUP(C55,Players!B:B,Players!A:A)</f>
        <v>39</v>
      </c>
      <c r="C55" s="17" t="s">
        <v>56</v>
      </c>
      <c r="D55" t="s">
        <v>99</v>
      </c>
      <c r="E55" s="1">
        <v>2</v>
      </c>
      <c r="F55">
        <v>28</v>
      </c>
    </row>
    <row r="56" spans="1:6" x14ac:dyDescent="0.2">
      <c r="A56" t="s">
        <v>71</v>
      </c>
      <c r="B56">
        <f>_xlfn.XLOOKUP(C56,Players!B:B,Players!A:A)</f>
        <v>24</v>
      </c>
      <c r="C56" s="17" t="s">
        <v>31</v>
      </c>
      <c r="D56" t="s">
        <v>99</v>
      </c>
      <c r="E56" s="1">
        <v>4</v>
      </c>
      <c r="F56">
        <v>56</v>
      </c>
    </row>
    <row r="57" spans="1:6" x14ac:dyDescent="0.2">
      <c r="A57" t="s">
        <v>71</v>
      </c>
      <c r="B57">
        <f>_xlfn.XLOOKUP(C57,Players!B:B,Players!A:A)</f>
        <v>28</v>
      </c>
      <c r="C57" s="17" t="s">
        <v>35</v>
      </c>
      <c r="D57" t="s">
        <v>99</v>
      </c>
      <c r="E57" s="1">
        <v>7</v>
      </c>
      <c r="F57">
        <v>98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Players</vt:lpstr>
      <vt:lpstr>Tournament_Info</vt:lpstr>
      <vt:lpstr>Tournament_Results</vt:lpstr>
      <vt:lpstr>Tournament_Acheivements</vt:lpstr>
      <vt:lpstr>Tournament_Skins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Vargas</dc:creator>
  <cp:lastModifiedBy>Kevin Vargas</cp:lastModifiedBy>
  <dcterms:created xsi:type="dcterms:W3CDTF">2026-05-22T04:06:48Z</dcterms:created>
  <dcterms:modified xsi:type="dcterms:W3CDTF">2026-06-10T05:44:35Z</dcterms:modified>
</cp:coreProperties>
</file>